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adha\Downloads\"/>
    </mc:Choice>
  </mc:AlternateContent>
  <xr:revisionPtr revIDLastSave="0" documentId="13_ncr:1_{CDF1DB77-4A12-4311-B246-2D08A2F1706B}" xr6:coauthVersionLast="47" xr6:coauthVersionMax="47" xr10:uidLastSave="{00000000-0000-0000-0000-000000000000}"/>
  <bookViews>
    <workbookView xWindow="-108" yWindow="-108" windowWidth="23256" windowHeight="12456" firstSheet="1" activeTab="7" xr2:uid="{00000000-000D-0000-FFFF-FFFF00000000}"/>
  </bookViews>
  <sheets>
    <sheet name="Questions" sheetId="1" r:id="rId1"/>
    <sheet name="Sheet5" sheetId="15" r:id="rId2"/>
    <sheet name="Sheet6" sheetId="16" r:id="rId3"/>
    <sheet name="Sheet7" sheetId="17" r:id="rId4"/>
    <sheet name="Sheet8" sheetId="18" r:id="rId5"/>
    <sheet name="Dashboard" sheetId="19" r:id="rId6"/>
    <sheet name="Sheet10" sheetId="20" r:id="rId7"/>
    <sheet name="Unclean Dataset for Dashboard" sheetId="3" r:id="rId8"/>
    <sheet name="Sheet1" sheetId="5" r:id="rId9"/>
    <sheet name="If" sheetId="4" r:id="rId10"/>
  </sheets>
  <definedNames>
    <definedName name="_xlnm._FilterDatabase" localSheetId="7" hidden="1">'Unclean Dataset for Dashboard'!$A$1:$J$121</definedName>
    <definedName name="Slicer_Age_Group">#N/A</definedName>
    <definedName name="Slicer_Cleaned_Gender">#N/A</definedName>
    <definedName name="Slicer_Region">#N/A</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4" l="1"/>
  <c r="Q2" i="4"/>
  <c r="Q10" i="4"/>
  <c r="Q5" i="4"/>
  <c r="Q14" i="4"/>
  <c r="Q12" i="4"/>
  <c r="Q11" i="4"/>
  <c r="Q9" i="4"/>
  <c r="Q8" i="4"/>
  <c r="Q7" i="4"/>
  <c r="Q6" i="4"/>
  <c r="Q4" i="4"/>
  <c r="Q3" i="4"/>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2" i="3"/>
  <c r="L3" i="3" a="1"/>
  <c r="L3" i="3" s="1"/>
  <c r="L4" i="3" a="1"/>
  <c r="L4" i="3"/>
  <c r="L5" i="3" a="1"/>
  <c r="L5" i="3"/>
  <c r="L6" i="3" a="1"/>
  <c r="L6" i="3"/>
  <c r="L7" i="3" a="1"/>
  <c r="L7" i="3" s="1"/>
  <c r="L8" i="3" a="1"/>
  <c r="L8" i="3"/>
  <c r="L9" i="3" a="1"/>
  <c r="L9" i="3"/>
  <c r="L10" i="3" a="1"/>
  <c r="L10" i="3"/>
  <c r="L11" i="3" a="1"/>
  <c r="L11" i="3" s="1"/>
  <c r="L12" i="3" a="1"/>
  <c r="L12" i="3"/>
  <c r="L13" i="3" a="1"/>
  <c r="L13" i="3"/>
  <c r="L14" i="3" a="1"/>
  <c r="L14" i="3"/>
  <c r="L15" i="3" a="1"/>
  <c r="L15" i="3" s="1"/>
  <c r="L16" i="3" a="1"/>
  <c r="L16" i="3"/>
  <c r="L17" i="3" a="1"/>
  <c r="L17" i="3"/>
  <c r="L18" i="3" a="1"/>
  <c r="L18" i="3"/>
  <c r="L19" i="3" a="1"/>
  <c r="L19" i="3" s="1"/>
  <c r="L20" i="3" a="1"/>
  <c r="L20" i="3"/>
  <c r="L21" i="3" a="1"/>
  <c r="L21" i="3"/>
  <c r="L22" i="3" a="1"/>
  <c r="L22" i="3"/>
  <c r="L23" i="3" a="1"/>
  <c r="L23" i="3" s="1"/>
  <c r="L24" i="3" a="1"/>
  <c r="L24" i="3"/>
  <c r="L25" i="3" a="1"/>
  <c r="L25" i="3"/>
  <c r="L26" i="3" a="1"/>
  <c r="L26" i="3"/>
  <c r="L27" i="3" a="1"/>
  <c r="L27" i="3" s="1"/>
  <c r="L28" i="3" a="1"/>
  <c r="L28" i="3"/>
  <c r="L29" i="3" a="1"/>
  <c r="L29" i="3"/>
  <c r="L30" i="3" a="1"/>
  <c r="L30" i="3"/>
  <c r="L31" i="3" a="1"/>
  <c r="L31" i="3" s="1"/>
  <c r="L32" i="3" a="1"/>
  <c r="L32" i="3"/>
  <c r="L33" i="3" a="1"/>
  <c r="L33" i="3"/>
  <c r="L34" i="3" a="1"/>
  <c r="L34" i="3"/>
  <c r="L35" i="3" a="1"/>
  <c r="L35" i="3" s="1"/>
  <c r="L36" i="3" a="1"/>
  <c r="L36" i="3"/>
  <c r="L37" i="3" a="1"/>
  <c r="L37" i="3"/>
  <c r="L38" i="3" a="1"/>
  <c r="L38" i="3"/>
  <c r="L39" i="3" a="1"/>
  <c r="L39" i="3" s="1"/>
  <c r="L40" i="3" a="1"/>
  <c r="L40" i="3"/>
  <c r="L41" i="3" a="1"/>
  <c r="L41" i="3"/>
  <c r="L42" i="3" a="1"/>
  <c r="L42" i="3"/>
  <c r="L43" i="3" a="1"/>
  <c r="L43" i="3" s="1"/>
  <c r="L44" i="3" a="1"/>
  <c r="L44" i="3"/>
  <c r="L45" i="3" a="1"/>
  <c r="L45" i="3"/>
  <c r="L46" i="3" a="1"/>
  <c r="L46" i="3"/>
  <c r="L47" i="3" a="1"/>
  <c r="L47" i="3" s="1"/>
  <c r="L48" i="3" a="1"/>
  <c r="L48" i="3"/>
  <c r="L49" i="3" a="1"/>
  <c r="L49" i="3"/>
  <c r="L50" i="3" a="1"/>
  <c r="L50" i="3"/>
  <c r="L51" i="3" a="1"/>
  <c r="L51" i="3" s="1"/>
  <c r="L52" i="3" a="1"/>
  <c r="L52" i="3"/>
  <c r="L53" i="3" a="1"/>
  <c r="L53" i="3"/>
  <c r="L54" i="3" a="1"/>
  <c r="L54" i="3"/>
  <c r="L55" i="3" a="1"/>
  <c r="L55" i="3" s="1"/>
  <c r="L56" i="3" a="1"/>
  <c r="L56" i="3"/>
  <c r="L57" i="3" a="1"/>
  <c r="L57" i="3"/>
  <c r="L58" i="3" a="1"/>
  <c r="L58" i="3"/>
  <c r="L59" i="3" a="1"/>
  <c r="L59" i="3" s="1"/>
  <c r="L60" i="3" a="1"/>
  <c r="L60" i="3"/>
  <c r="L61" i="3" a="1"/>
  <c r="L61" i="3"/>
  <c r="L62" i="3" a="1"/>
  <c r="L62" i="3"/>
  <c r="L63" i="3" a="1"/>
  <c r="L63" i="3" s="1"/>
  <c r="L64" i="3" a="1"/>
  <c r="L64" i="3"/>
  <c r="L65" i="3" a="1"/>
  <c r="L65" i="3"/>
  <c r="L66" i="3" a="1"/>
  <c r="L66" i="3"/>
  <c r="L67" i="3" a="1"/>
  <c r="L67" i="3" s="1"/>
  <c r="L68" i="3" a="1"/>
  <c r="L68" i="3"/>
  <c r="L69" i="3" a="1"/>
  <c r="L69" i="3"/>
  <c r="L70" i="3" a="1"/>
  <c r="L70" i="3"/>
  <c r="L71" i="3" a="1"/>
  <c r="L71" i="3" s="1"/>
  <c r="L72" i="3" a="1"/>
  <c r="L72" i="3"/>
  <c r="L73" i="3" a="1"/>
  <c r="L73" i="3"/>
  <c r="L74" i="3" a="1"/>
  <c r="L74" i="3"/>
  <c r="L75" i="3" a="1"/>
  <c r="L75" i="3" s="1"/>
  <c r="L76" i="3" a="1"/>
  <c r="L76" i="3"/>
  <c r="L77" i="3" a="1"/>
  <c r="L77" i="3"/>
  <c r="L78" i="3" a="1"/>
  <c r="L78" i="3"/>
  <c r="L79" i="3" a="1"/>
  <c r="L79" i="3" s="1"/>
  <c r="L80" i="3" a="1"/>
  <c r="L80" i="3"/>
  <c r="L81" i="3" a="1"/>
  <c r="L81" i="3"/>
  <c r="L82" i="3" a="1"/>
  <c r="L82" i="3"/>
  <c r="L83" i="3" a="1"/>
  <c r="L83" i="3" s="1"/>
  <c r="L84" i="3" a="1"/>
  <c r="L84" i="3"/>
  <c r="L85" i="3" a="1"/>
  <c r="L85" i="3"/>
  <c r="L86" i="3" a="1"/>
  <c r="L86" i="3"/>
  <c r="L87" i="3" a="1"/>
  <c r="L87" i="3" s="1"/>
  <c r="L88" i="3" a="1"/>
  <c r="L88" i="3"/>
  <c r="L89" i="3" a="1"/>
  <c r="L89" i="3"/>
  <c r="L90" i="3" a="1"/>
  <c r="L90" i="3"/>
  <c r="L91" i="3" a="1"/>
  <c r="L91" i="3" s="1"/>
  <c r="L92" i="3" a="1"/>
  <c r="L92" i="3"/>
  <c r="L93" i="3" a="1"/>
  <c r="L93" i="3"/>
  <c r="L94" i="3" a="1"/>
  <c r="L94" i="3"/>
  <c r="L95" i="3" a="1"/>
  <c r="L95" i="3" s="1"/>
  <c r="L96" i="3" a="1"/>
  <c r="L96" i="3"/>
  <c r="L97" i="3" a="1"/>
  <c r="L97" i="3"/>
  <c r="L98" i="3" a="1"/>
  <c r="L98" i="3"/>
  <c r="L99" i="3" a="1"/>
  <c r="L99" i="3" s="1"/>
  <c r="L100" i="3" a="1"/>
  <c r="L100" i="3"/>
  <c r="L101" i="3" a="1"/>
  <c r="L101" i="3"/>
  <c r="L102" i="3" a="1"/>
  <c r="L102" i="3"/>
  <c r="L103" i="3" a="1"/>
  <c r="L103" i="3" s="1"/>
  <c r="L104" i="3" a="1"/>
  <c r="L104" i="3"/>
  <c r="L105" i="3" a="1"/>
  <c r="L105" i="3"/>
  <c r="L106" i="3" a="1"/>
  <c r="L106" i="3"/>
  <c r="L107" i="3" a="1"/>
  <c r="L107" i="3" s="1"/>
  <c r="L108" i="3" a="1"/>
  <c r="L108" i="3"/>
  <c r="L109" i="3" a="1"/>
  <c r="L109" i="3"/>
  <c r="L110" i="3" a="1"/>
  <c r="L110" i="3"/>
  <c r="L111" i="3" a="1"/>
  <c r="L111" i="3" s="1"/>
  <c r="L112" i="3" a="1"/>
  <c r="L112" i="3"/>
  <c r="L113" i="3" a="1"/>
  <c r="L113" i="3"/>
  <c r="L114" i="3" a="1"/>
  <c r="L114" i="3"/>
  <c r="L115" i="3" a="1"/>
  <c r="L115" i="3" s="1"/>
  <c r="L116" i="3" a="1"/>
  <c r="L116" i="3"/>
  <c r="L117" i="3" a="1"/>
  <c r="L117" i="3"/>
  <c r="L118" i="3" a="1"/>
  <c r="L118" i="3"/>
  <c r="L119" i="3" a="1"/>
  <c r="L119" i="3" s="1"/>
  <c r="L120" i="3" a="1"/>
  <c r="L120" i="3"/>
  <c r="L121" i="3" a="1"/>
  <c r="L121" i="3"/>
  <c r="L2" i="3" a="1"/>
  <c r="L2" i="3" s="1"/>
  <c r="B3" i="5"/>
  <c r="B4" i="5"/>
  <c r="B5" i="5"/>
  <c r="B6" i="5"/>
  <c r="B7" i="5"/>
  <c r="B8" i="5"/>
  <c r="B9" i="5"/>
  <c r="B10" i="5"/>
  <c r="B11" i="5"/>
  <c r="B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<sst xmlns="http://schemas.openxmlformats.org/spreadsheetml/2006/main" count="760" uniqueCount="102">
  <si>
    <t>End to End Project</t>
  </si>
  <si>
    <t>3. Group Ages &lt;35 --&gt; A1, 35 to 45 --&gt; A2, &gt;45 --&gt; A3</t>
  </si>
  <si>
    <t>4. Production per Unit</t>
  </si>
  <si>
    <t>Graphs</t>
  </si>
  <si>
    <t>5. Total Cost by Product Type</t>
  </si>
  <si>
    <t>6 Tasks done by each manager</t>
  </si>
  <si>
    <t>7. Number of Units produced by Year and Month</t>
  </si>
  <si>
    <t>8. Average Production Cost Per Unit for each Product Type</t>
  </si>
  <si>
    <t>ProductionID</t>
  </si>
  <si>
    <t>ProductionDate</t>
  </si>
  <si>
    <t>Region</t>
  </si>
  <si>
    <t>Manager</t>
  </si>
  <si>
    <t>ProductType</t>
  </si>
  <si>
    <t>UnitsProduced</t>
  </si>
  <si>
    <t>TotalCost</t>
  </si>
  <si>
    <t>Gender</t>
  </si>
  <si>
    <t>Age</t>
  </si>
  <si>
    <t>North</t>
  </si>
  <si>
    <t>Jane Smith</t>
  </si>
  <si>
    <t>Electronics</t>
  </si>
  <si>
    <t>Female</t>
  </si>
  <si>
    <t>West</t>
  </si>
  <si>
    <t>Nancy Grey</t>
  </si>
  <si>
    <t>Automobiles</t>
  </si>
  <si>
    <t>Laura Black</t>
  </si>
  <si>
    <t>Emily Davis</t>
  </si>
  <si>
    <t>Null</t>
  </si>
  <si>
    <t>Andrew Blue</t>
  </si>
  <si>
    <t>Machinery</t>
  </si>
  <si>
    <t>Male</t>
  </si>
  <si>
    <t>Mike Brown</t>
  </si>
  <si>
    <t>South</t>
  </si>
  <si>
    <t>John Doe</t>
  </si>
  <si>
    <t>Furniture</t>
  </si>
  <si>
    <t>East</t>
  </si>
  <si>
    <t>David White</t>
  </si>
  <si>
    <t>Chris Green</t>
  </si>
  <si>
    <t>Sarah Lee</t>
  </si>
  <si>
    <t>9. Slicers - Region, Gender, Age group</t>
  </si>
  <si>
    <t>1. Clean Ages</t>
  </si>
  <si>
    <t>2. Clean Gender</t>
  </si>
  <si>
    <t>Student_ID</t>
  </si>
  <si>
    <t>Name</t>
  </si>
  <si>
    <t>Department</t>
  </si>
  <si>
    <t>Marks</t>
  </si>
  <si>
    <t>Attendance_%</t>
  </si>
  <si>
    <t>City</t>
  </si>
  <si>
    <t>Course_Fee</t>
  </si>
  <si>
    <t>Paid_Status</t>
  </si>
  <si>
    <t>Aisha</t>
  </si>
  <si>
    <t>F</t>
  </si>
  <si>
    <t>AIML</t>
  </si>
  <si>
    <t>Mumbai</t>
  </si>
  <si>
    <t>Paid</t>
  </si>
  <si>
    <t>Rohan</t>
  </si>
  <si>
    <t>M</t>
  </si>
  <si>
    <t>Delhi</t>
  </si>
  <si>
    <t>Pending</t>
  </si>
  <si>
    <t>Sneha</t>
  </si>
  <si>
    <t>CSE</t>
  </si>
  <si>
    <t>Arjun</t>
  </si>
  <si>
    <t>Pune</t>
  </si>
  <si>
    <t>Meera</t>
  </si>
  <si>
    <t>Karan</t>
  </si>
  <si>
    <t>IT</t>
  </si>
  <si>
    <t>Pooja</t>
  </si>
  <si>
    <t>Rahul</t>
  </si>
  <si>
    <t>Nidhi</t>
  </si>
  <si>
    <t>Vikram</t>
  </si>
  <si>
    <t>Tanvi</t>
  </si>
  <si>
    <t>Yash</t>
  </si>
  <si>
    <r>
      <t xml:space="preserve">Find the </t>
    </r>
    <r>
      <rPr>
        <b/>
        <sz val="11"/>
        <color theme="1"/>
        <rFont val="Calibri"/>
        <family val="2"/>
        <scheme val="minor"/>
      </rPr>
      <t>total Course Fee collected</t>
    </r>
    <r>
      <rPr>
        <sz val="11"/>
        <color theme="1"/>
        <rFont val="Calibri"/>
        <family val="2"/>
        <scheme val="minor"/>
      </rPr>
      <t xml:space="preserve"> from students who have Paid.</t>
    </r>
  </si>
  <si>
    <r>
      <t xml:space="preserve">Find the </t>
    </r>
    <r>
      <rPr>
        <b/>
        <sz val="11"/>
        <color theme="1"/>
        <rFont val="Calibri"/>
        <family val="2"/>
        <scheme val="minor"/>
      </rPr>
      <t>total Course Fee pending</t>
    </r>
    <r>
      <rPr>
        <sz val="11"/>
        <color theme="1"/>
        <rFont val="Calibri"/>
        <family val="2"/>
        <scheme val="minor"/>
      </rPr>
      <t>.</t>
    </r>
  </si>
  <si>
    <r>
      <t xml:space="preserve">Find the </t>
    </r>
    <r>
      <rPr>
        <b/>
        <sz val="11"/>
        <color theme="1"/>
        <rFont val="Calibri"/>
        <family val="2"/>
        <scheme val="minor"/>
      </rPr>
      <t>total marks scored by AIML students</t>
    </r>
    <r>
      <rPr>
        <sz val="11"/>
        <color theme="1"/>
        <rFont val="Calibri"/>
        <family val="2"/>
        <scheme val="minor"/>
      </rPr>
      <t>.</t>
    </r>
  </si>
  <si>
    <r>
      <t xml:space="preserve">Find the </t>
    </r>
    <r>
      <rPr>
        <b/>
        <sz val="11"/>
        <color theme="1"/>
        <rFont val="Calibri"/>
        <family val="2"/>
        <scheme val="minor"/>
      </rPr>
      <t>total marks of students who scored above 75</t>
    </r>
    <r>
      <rPr>
        <sz val="11"/>
        <color theme="1"/>
        <rFont val="Calibri"/>
        <family val="2"/>
        <scheme val="minor"/>
      </rPr>
      <t>.</t>
    </r>
  </si>
  <si>
    <r>
      <t xml:space="preserve">Find the </t>
    </r>
    <r>
      <rPr>
        <b/>
        <sz val="11"/>
        <color theme="1"/>
        <rFont val="Calibri"/>
        <family val="2"/>
        <scheme val="minor"/>
      </rPr>
      <t>total Course Fee collected from Female students</t>
    </r>
    <r>
      <rPr>
        <sz val="11"/>
        <color theme="1"/>
        <rFont val="Calibri"/>
        <family val="2"/>
        <scheme val="minor"/>
      </rPr>
      <t>.</t>
    </r>
  </si>
  <si>
    <r>
      <t xml:space="preserve">Find the </t>
    </r>
    <r>
      <rPr>
        <b/>
        <sz val="11"/>
        <color theme="1"/>
        <rFont val="Calibri"/>
        <family val="2"/>
        <scheme val="minor"/>
      </rPr>
      <t>average marks of CSE students</t>
    </r>
  </si>
  <si>
    <r>
      <t xml:space="preserve">Find the </t>
    </r>
    <r>
      <rPr>
        <b/>
        <sz val="11"/>
        <color theme="1"/>
        <rFont val="Calibri"/>
        <family val="2"/>
        <scheme val="minor"/>
      </rPr>
      <t>average attendance of Mumbai students</t>
    </r>
    <r>
      <rPr>
        <sz val="11"/>
        <color theme="1"/>
        <rFont val="Calibri"/>
        <family val="2"/>
        <scheme val="minor"/>
      </rPr>
      <t>.</t>
    </r>
  </si>
  <si>
    <r>
      <t xml:space="preserve">Find the </t>
    </r>
    <r>
      <rPr>
        <b/>
        <sz val="11"/>
        <color theme="1"/>
        <rFont val="Calibri"/>
        <family val="2"/>
        <scheme val="minor"/>
      </rPr>
      <t>average marks of students who have Pending fees</t>
    </r>
    <r>
      <rPr>
        <sz val="11"/>
        <color theme="1"/>
        <rFont val="Calibri"/>
        <family val="2"/>
        <scheme val="minor"/>
      </rPr>
      <t>.</t>
    </r>
  </si>
  <si>
    <r>
      <t xml:space="preserve">Find the </t>
    </r>
    <r>
      <rPr>
        <b/>
        <sz val="11"/>
        <color theme="1"/>
        <rFont val="Calibri"/>
        <family val="2"/>
        <scheme val="minor"/>
      </rPr>
      <t>average marks of students scoring above 80</t>
    </r>
    <r>
      <rPr>
        <sz val="11"/>
        <color theme="1"/>
        <rFont val="Calibri"/>
        <family val="2"/>
        <scheme val="minor"/>
      </rPr>
      <t>.</t>
    </r>
  </si>
  <si>
    <r>
      <t xml:space="preserve">Count the number of students from </t>
    </r>
    <r>
      <rPr>
        <b/>
        <sz val="11"/>
        <color theme="1"/>
        <rFont val="Calibri"/>
        <family val="2"/>
        <scheme val="minor"/>
      </rPr>
      <t>Mumbai</t>
    </r>
    <r>
      <rPr>
        <sz val="11"/>
        <color theme="1"/>
        <rFont val="Calibri"/>
        <family val="2"/>
        <scheme val="minor"/>
      </rPr>
      <t>.</t>
    </r>
  </si>
  <si>
    <r>
      <t xml:space="preserve">Count how many students scored </t>
    </r>
    <r>
      <rPr>
        <b/>
        <sz val="11"/>
        <color theme="1"/>
        <rFont val="Calibri"/>
        <family val="2"/>
        <scheme val="minor"/>
      </rPr>
      <t>more than 80 marks</t>
    </r>
    <r>
      <rPr>
        <sz val="11"/>
        <color theme="1"/>
        <rFont val="Calibri"/>
        <family val="2"/>
        <scheme val="minor"/>
      </rPr>
      <t>.</t>
    </r>
  </si>
  <si>
    <r>
      <t xml:space="preserve">Count the number of students with </t>
    </r>
    <r>
      <rPr>
        <b/>
        <sz val="11"/>
        <color theme="1"/>
        <rFont val="Calibri"/>
        <family val="2"/>
        <scheme val="minor"/>
      </rPr>
      <t>Attendance above 90%</t>
    </r>
    <r>
      <rPr>
        <sz val="11"/>
        <color theme="1"/>
        <rFont val="Calibri"/>
        <family val="2"/>
        <scheme val="minor"/>
      </rPr>
      <t>.</t>
    </r>
  </si>
  <si>
    <r>
      <t xml:space="preserve">Count how many students have </t>
    </r>
    <r>
      <rPr>
        <b/>
        <sz val="11"/>
        <color theme="1"/>
        <rFont val="Calibri"/>
        <family val="2"/>
        <scheme val="minor"/>
      </rPr>
      <t>Pending fees</t>
    </r>
    <r>
      <rPr>
        <sz val="11"/>
        <color theme="1"/>
        <rFont val="Calibri"/>
        <family val="2"/>
        <scheme val="minor"/>
      </rPr>
      <t>.</t>
    </r>
  </si>
  <si>
    <t xml:space="preserve">Cleaned age </t>
  </si>
  <si>
    <t>Cleaned Gender</t>
  </si>
  <si>
    <t>Age Group</t>
  </si>
  <si>
    <t>Row Labels</t>
  </si>
  <si>
    <t>Grand Total</t>
  </si>
  <si>
    <t>Production Cost Per Unit</t>
  </si>
  <si>
    <t>Sum of TotalCost</t>
  </si>
  <si>
    <t>Count of ProductionID</t>
  </si>
  <si>
    <t>Sum of UnitsProduced</t>
  </si>
  <si>
    <t>2023</t>
  </si>
  <si>
    <t>2024</t>
  </si>
  <si>
    <t>Oct</t>
  </si>
  <si>
    <t>Dec</t>
  </si>
  <si>
    <t>Jan</t>
  </si>
  <si>
    <t>Feb</t>
  </si>
  <si>
    <t>Mar</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</si>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</sst>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48"/>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2"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6.xlsx]Sheet5!PivotTable7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Cost By Product Type</a:t>
            </a:r>
          </a:p>
        </c:rich>
      </c:tx>
      <c:layout>
        <c:manualLayout>
          <c:xMode val="edge"/>
          <c:yMode val="edge"/>
          <c:x val="0.21197222222222223"/>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Sheet5!$A$4:$A$7</c:f>
              <c:strCache>
                <c:ptCount val="3"/>
                <c:pt idx="0">
                  <c:v>Automobiles</c:v>
                </c:pt>
                <c:pt idx="1">
                  <c:v>Furniture</c:v>
                </c:pt>
                <c:pt idx="2">
                  <c:v>Machinery</c:v>
                </c:pt>
              </c:strCache>
            </c:strRef>
          </c:cat>
          <c:val>
            <c:numRef>
              <c:f>Sheet5!$B$4:$B$7</c:f>
              <c:numCache>
                <c:formatCode>General</c:formatCode>
                <c:ptCount val="3"/>
                <c:pt idx="0">
                  <c:v>60197</c:v>
                </c:pt>
                <c:pt idx="1">
                  <c:v>40565</c:v>
                </c:pt>
                <c:pt idx="2">
                  <c:v>105950</c:v>
                </c:pt>
              </c:numCache>
            </c:numRef>
          </c:val>
          <c:extLst>
            <c:ext xmlns:c16="http://schemas.microsoft.com/office/drawing/2014/chart" uri="{C3380CC4-5D6E-409C-BE32-E72D297353CC}">
              <c16:uniqueId val="{00000000-8262-4FD3-874A-6C27662A76FC}"/>
            </c:ext>
          </c:extLst>
        </c:ser>
        <c:dLbls>
          <c:showLegendKey val="0"/>
          <c:showVal val="0"/>
          <c:showCatName val="0"/>
          <c:showSerName val="0"/>
          <c:showPercent val="0"/>
          <c:showBubbleSize val="0"/>
        </c:dLbls>
        <c:gapWidth val="150"/>
        <c:shape val="box"/>
        <c:axId val="1418594927"/>
        <c:axId val="1418596367"/>
        <c:axId val="0"/>
      </c:bar3DChart>
      <c:catAx>
        <c:axId val="141859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596367"/>
        <c:crosses val="autoZero"/>
        <c:auto val="1"/>
        <c:lblAlgn val="ctr"/>
        <c:lblOffset val="100"/>
        <c:noMultiLvlLbl val="0"/>
      </c:catAx>
      <c:valAx>
        <c:axId val="141859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59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6.xlsx]Sheet6!PivotTable8</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Task</a:t>
            </a:r>
            <a:r>
              <a:rPr lang="en-US" baseline="0"/>
              <a:t> Done By Managers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Sheet6!$A$4:$A$9</c:f>
              <c:strCache>
                <c:ptCount val="5"/>
                <c:pt idx="0">
                  <c:v>Mike Brown</c:v>
                </c:pt>
                <c:pt idx="1">
                  <c:v>John Doe</c:v>
                </c:pt>
                <c:pt idx="2">
                  <c:v>David White</c:v>
                </c:pt>
                <c:pt idx="3">
                  <c:v>Chris Green</c:v>
                </c:pt>
                <c:pt idx="4">
                  <c:v>Andrew Blue</c:v>
                </c:pt>
              </c:strCache>
            </c:strRef>
          </c:cat>
          <c:val>
            <c:numRef>
              <c:f>Sheet6!$B$4:$B$9</c:f>
              <c:numCache>
                <c:formatCode>General</c:formatCode>
                <c:ptCount val="5"/>
                <c:pt idx="0">
                  <c:v>3</c:v>
                </c:pt>
                <c:pt idx="1">
                  <c:v>3</c:v>
                </c:pt>
                <c:pt idx="2">
                  <c:v>1</c:v>
                </c:pt>
                <c:pt idx="3">
                  <c:v>1</c:v>
                </c:pt>
                <c:pt idx="4">
                  <c:v>1</c:v>
                </c:pt>
              </c:numCache>
            </c:numRef>
          </c:val>
          <c:extLst>
            <c:ext xmlns:c16="http://schemas.microsoft.com/office/drawing/2014/chart" uri="{C3380CC4-5D6E-409C-BE32-E72D297353CC}">
              <c16:uniqueId val="{00000000-DA30-4DA3-9C25-758B59486DA2}"/>
            </c:ext>
          </c:extLst>
        </c:ser>
        <c:dLbls>
          <c:showLegendKey val="0"/>
          <c:showVal val="0"/>
          <c:showCatName val="0"/>
          <c:showSerName val="0"/>
          <c:showPercent val="0"/>
          <c:showBubbleSize val="0"/>
        </c:dLbls>
        <c:gapWidth val="65"/>
        <c:shape val="box"/>
        <c:axId val="1418578607"/>
        <c:axId val="1418591567"/>
        <c:axId val="0"/>
      </c:bar3DChart>
      <c:catAx>
        <c:axId val="1418578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418591567"/>
        <c:crosses val="autoZero"/>
        <c:auto val="1"/>
        <c:lblAlgn val="ctr"/>
        <c:lblOffset val="100"/>
        <c:noMultiLvlLbl val="0"/>
      </c:catAx>
      <c:valAx>
        <c:axId val="141859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4185786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6.xlsx]Sheet7!PivotTable9</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a:t>
            </a:r>
            <a:r>
              <a:rPr lang="en-IN" baseline="0"/>
              <a:t> Of Units Produced By year &amp;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Sheet7!$B$3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Sheet7!$A$4:$A$11</c:f>
              <c:multiLvlStrCache>
                <c:ptCount val="5"/>
                <c:lvl>
                  <c:pt idx="0">
                    <c:v>Oct</c:v>
                  </c:pt>
                  <c:pt idx="1">
                    <c:v>Dec</c:v>
                  </c:pt>
                  <c:pt idx="2">
                    <c:v>Jan</c:v>
                  </c:pt>
                  <c:pt idx="3">
                    <c:v>Feb</c:v>
                  </c:pt>
                  <c:pt idx="4">
                    <c:v>Mar</c:v>
                  </c:pt>
                </c:lvl>
                <c:lvl>
                  <c:pt idx="0">
                    <c:v>2023</c:v>
                  </c:pt>
                  <c:pt idx="2">
                    <c:v>2024</c:v>
                  </c:pt>
                </c:lvl>
              </c:multiLvlStrCache>
            </c:multiLvlStrRef>
          </c:cat>
          <c:val>
            <c:numRef>
              <c:f>Sheet7!$B$4:$B$11</c:f>
              <c:numCache>
                <c:formatCode>General</c:formatCode>
                <c:ptCount val="5"/>
                <c:pt idx="0">
                  <c:v>384</c:v>
                </c:pt>
                <c:pt idx="1">
                  <c:v>366</c:v>
                </c:pt>
                <c:pt idx="2">
                  <c:v>518</c:v>
                </c:pt>
                <c:pt idx="3">
                  <c:v>902</c:v>
                </c:pt>
                <c:pt idx="4">
                  <c:v>770</c:v>
                </c:pt>
              </c:numCache>
            </c:numRef>
          </c:val>
          <c:smooth val="0"/>
          <c:extLst>
            <c:ext xmlns:c16="http://schemas.microsoft.com/office/drawing/2014/chart" uri="{C3380CC4-5D6E-409C-BE32-E72D297353CC}">
              <c16:uniqueId val="{00000000-A0D3-48E7-8186-93E752D8CCB0}"/>
            </c:ext>
          </c:extLst>
        </c:ser>
        <c:dLbls>
          <c:showLegendKey val="0"/>
          <c:showVal val="0"/>
          <c:showCatName val="0"/>
          <c:showSerName val="0"/>
          <c:showPercent val="0"/>
          <c:showBubbleSize val="0"/>
        </c:dLbls>
        <c:axId val="1418562767"/>
        <c:axId val="1418555087"/>
        <c:axId val="1566286095"/>
      </c:line3DChart>
      <c:catAx>
        <c:axId val="141856276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18555087"/>
        <c:crosses val="autoZero"/>
        <c:auto val="1"/>
        <c:lblAlgn val="ctr"/>
        <c:lblOffset val="100"/>
        <c:noMultiLvlLbl val="0"/>
      </c:catAx>
      <c:valAx>
        <c:axId val="141855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18562767"/>
        <c:crosses val="autoZero"/>
        <c:crossBetween val="between"/>
      </c:valAx>
      <c:serAx>
        <c:axId val="1566286095"/>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5550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2">
          <a:lumMod val="1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6.xlsx]Sheet8!PivotTable10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a:t>
            </a:r>
            <a:r>
              <a:rPr lang="en-IN" baseline="0"/>
              <a:t> Production Cost Per Unit For Product Typ.</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6">
              <a:tint val="58000"/>
            </a:schemeClr>
          </a:solidFill>
          <a:ln>
            <a:noFill/>
          </a:ln>
          <a:effectLst>
            <a:outerShdw blurRad="254000" sx="102000" sy="102000" algn="ctr" rotWithShape="0">
              <a:prstClr val="black">
                <a:alpha val="20000"/>
              </a:prstClr>
            </a:outerShdw>
          </a:effectLst>
          <a:sp3d/>
        </c:spPr>
      </c:pivotFmt>
      <c:pivotFmt>
        <c:idx val="2"/>
        <c:spPr>
          <a:solidFill>
            <a:schemeClr val="accent6">
              <a:tint val="86000"/>
            </a:schemeClr>
          </a:solidFill>
          <a:ln>
            <a:noFill/>
          </a:ln>
          <a:effectLst>
            <a:outerShdw blurRad="254000" sx="102000" sy="102000" algn="ctr" rotWithShape="0">
              <a:prstClr val="black">
                <a:alpha val="20000"/>
              </a:prstClr>
            </a:outerShdw>
          </a:effectLst>
          <a:sp3d/>
        </c:spPr>
      </c:pivotFmt>
      <c:pivotFmt>
        <c:idx val="3"/>
        <c:spPr>
          <a:solidFill>
            <a:schemeClr val="accent6">
              <a:shade val="86000"/>
            </a:schemeClr>
          </a:solidFill>
          <a:ln>
            <a:noFill/>
          </a:ln>
          <a:effectLst>
            <a:outerShdw blurRad="254000" sx="102000" sy="102000" algn="ctr" rotWithShape="0">
              <a:prstClr val="black">
                <a:alpha val="20000"/>
              </a:prstClr>
            </a:outerShdw>
          </a:effectLst>
          <a:sp3d/>
        </c:spPr>
      </c:pivotFmt>
      <c:pivotFmt>
        <c:idx val="4"/>
        <c:spPr>
          <a:solidFill>
            <a:schemeClr val="accent6">
              <a:shade val="58000"/>
            </a:schemeClr>
          </a:solidFill>
          <a:ln>
            <a:noFill/>
          </a:ln>
          <a:effectLst>
            <a:outerShdw blurRad="254000" sx="102000" sy="102000" algn="ctr" rotWithShape="0">
              <a:prstClr val="black">
                <a:alpha val="20000"/>
              </a:prstClr>
            </a:outerShdw>
          </a:effectLst>
          <a:sp3d/>
        </c:spPr>
      </c:pivotFmt>
      <c:pivotFmt>
        <c:idx val="5"/>
        <c:spPr>
          <a:solidFill>
            <a:schemeClr val="accent6">
              <a:tint val="58000"/>
            </a:schemeClr>
          </a:solidFill>
          <a:ln>
            <a:noFill/>
          </a:ln>
          <a:effectLst>
            <a:outerShdw blurRad="254000" sx="102000" sy="102000" algn="ctr" rotWithShape="0">
              <a:prstClr val="black">
                <a:alpha val="20000"/>
              </a:prstClr>
            </a:outerShdw>
          </a:effectLst>
          <a:sp3d/>
        </c:spPr>
      </c:pivotFmt>
      <c:pivotFmt>
        <c:idx val="6"/>
        <c:spPr>
          <a:solidFill>
            <a:schemeClr val="accent6">
              <a:tint val="86000"/>
            </a:schemeClr>
          </a:solidFill>
          <a:ln>
            <a:noFill/>
          </a:ln>
          <a:effectLst>
            <a:outerShdw blurRad="254000" sx="102000" sy="102000" algn="ctr" rotWithShape="0">
              <a:prstClr val="black">
                <a:alpha val="20000"/>
              </a:prstClr>
            </a:outerShdw>
          </a:effectLst>
          <a:sp3d/>
        </c:spPr>
      </c:pivotFmt>
      <c:pivotFmt>
        <c:idx val="7"/>
        <c:spPr>
          <a:solidFill>
            <a:schemeClr val="accent6">
              <a:shade val="86000"/>
            </a:schemeClr>
          </a:solidFill>
          <a:ln>
            <a:noFill/>
          </a:ln>
          <a:effectLst>
            <a:outerShdw blurRad="254000" sx="102000" sy="102000" algn="ctr" rotWithShape="0">
              <a:prstClr val="black">
                <a:alpha val="20000"/>
              </a:prstClr>
            </a:outerShdw>
          </a:effectLst>
          <a:sp3d/>
        </c:spPr>
      </c:pivotFmt>
      <c:pivotFmt>
        <c:idx val="8"/>
        <c:spPr>
          <a:solidFill>
            <a:schemeClr val="accent6">
              <a:shade val="58000"/>
            </a:schemeClr>
          </a:solidFill>
          <a:ln>
            <a:noFill/>
          </a:ln>
          <a:effectLst>
            <a:outerShdw blurRad="254000" sx="102000" sy="102000" algn="ctr" rotWithShape="0">
              <a:prstClr val="black">
                <a:alpha val="20000"/>
              </a:prstClr>
            </a:outerShdw>
          </a:effectLst>
          <a:sp3d/>
        </c:spPr>
      </c:pivotFmt>
      <c:pivotFmt>
        <c:idx val="9"/>
        <c:spPr>
          <a:solidFill>
            <a:schemeClr val="accent6">
              <a:tint val="58000"/>
            </a:schemeClr>
          </a:solidFill>
          <a:ln>
            <a:noFill/>
          </a:ln>
          <a:effectLst>
            <a:outerShdw blurRad="254000" sx="102000" sy="102000" algn="ctr" rotWithShape="0">
              <a:prstClr val="black">
                <a:alpha val="20000"/>
              </a:prstClr>
            </a:outerShdw>
          </a:effectLst>
          <a:sp3d/>
        </c:spPr>
      </c:pivotFmt>
      <c:pivotFmt>
        <c:idx val="10"/>
        <c:spPr>
          <a:solidFill>
            <a:schemeClr val="accent6">
              <a:tint val="86000"/>
            </a:schemeClr>
          </a:solidFill>
          <a:ln>
            <a:noFill/>
          </a:ln>
          <a:effectLst>
            <a:outerShdw blurRad="254000" sx="102000" sy="102000" algn="ctr" rotWithShape="0">
              <a:prstClr val="black">
                <a:alpha val="20000"/>
              </a:prstClr>
            </a:outerShdw>
          </a:effectLst>
          <a:sp3d/>
        </c:spPr>
      </c:pivotFmt>
      <c:pivotFmt>
        <c:idx val="11"/>
        <c:spPr>
          <a:solidFill>
            <a:schemeClr val="accent6">
              <a:shade val="86000"/>
            </a:schemeClr>
          </a:solidFill>
          <a:ln>
            <a:noFill/>
          </a:ln>
          <a:effectLst>
            <a:outerShdw blurRad="254000" sx="102000" sy="102000" algn="ctr" rotWithShape="0">
              <a:prstClr val="black">
                <a:alpha val="20000"/>
              </a:prstClr>
            </a:outerShdw>
          </a:effectLst>
          <a:sp3d/>
        </c:spPr>
      </c:pivotFmt>
      <c:pivotFmt>
        <c:idx val="12"/>
        <c:spPr>
          <a:solidFill>
            <a:schemeClr val="accent6">
              <a:shade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6">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A41-4222-ADFF-5F131D6564C3}"/>
              </c:ext>
            </c:extLst>
          </c:dPt>
          <c:dPt>
            <c:idx val="1"/>
            <c:bubble3D val="0"/>
            <c:spPr>
              <a:solidFill>
                <a:schemeClr val="accent6">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A41-4222-ADFF-5F131D6564C3}"/>
              </c:ext>
            </c:extLst>
          </c:dPt>
          <c:dPt>
            <c:idx val="2"/>
            <c:bubble3D val="0"/>
            <c:spPr>
              <a:solidFill>
                <a:schemeClr val="accent6">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A41-4222-ADFF-5F131D6564C3}"/>
              </c:ext>
            </c:extLst>
          </c:dPt>
          <c:dPt>
            <c:idx val="3"/>
            <c:bubble3D val="0"/>
            <c:spPr>
              <a:solidFill>
                <a:schemeClr val="accent6">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A41-4222-ADFF-5F131D6564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Sheet8!$A$4:$A$7</c:f>
              <c:strCache>
                <c:ptCount val="3"/>
                <c:pt idx="0">
                  <c:v>Automobiles</c:v>
                </c:pt>
                <c:pt idx="1">
                  <c:v>Furniture</c:v>
                </c:pt>
                <c:pt idx="2">
                  <c:v>Machinery</c:v>
                </c:pt>
              </c:strCache>
            </c:strRef>
          </c:cat>
          <c:val>
            <c:numRef>
              <c:f>Sheet8!$B$4:$B$7</c:f>
              <c:numCache>
                <c:formatCode>0.00</c:formatCode>
                <c:ptCount val="3"/>
                <c:pt idx="0">
                  <c:v>63.295884931027373</c:v>
                </c:pt>
                <c:pt idx="1">
                  <c:v>105.63802083333333</c:v>
                </c:pt>
                <c:pt idx="2">
                  <c:v>67.992345976051539</c:v>
                </c:pt>
              </c:numCache>
            </c:numRef>
          </c:val>
          <c:extLst>
            <c:ext xmlns:c16="http://schemas.microsoft.com/office/drawing/2014/chart" uri="{C3380CC4-5D6E-409C-BE32-E72D297353CC}">
              <c16:uniqueId val="{00000000-C02D-49A6-9C30-4D1344432BF8}"/>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6.xlsx]Sheet5!PivotTable7</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Cost By Product Type</a:t>
            </a:r>
          </a:p>
        </c:rich>
      </c:tx>
      <c:layout>
        <c:manualLayout>
          <c:xMode val="edge"/>
          <c:yMode val="edge"/>
          <c:x val="0.21197222222222223"/>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Sheet5!$A$4:$A$7</c:f>
              <c:strCache>
                <c:ptCount val="3"/>
                <c:pt idx="0">
                  <c:v>Automobiles</c:v>
                </c:pt>
                <c:pt idx="1">
                  <c:v>Furniture</c:v>
                </c:pt>
                <c:pt idx="2">
                  <c:v>Machinery</c:v>
                </c:pt>
              </c:strCache>
            </c:strRef>
          </c:cat>
          <c:val>
            <c:numRef>
              <c:f>Sheet5!$B$4:$B$7</c:f>
              <c:numCache>
                <c:formatCode>General</c:formatCode>
                <c:ptCount val="3"/>
                <c:pt idx="0">
                  <c:v>60197</c:v>
                </c:pt>
                <c:pt idx="1">
                  <c:v>40565</c:v>
                </c:pt>
                <c:pt idx="2">
                  <c:v>105950</c:v>
                </c:pt>
              </c:numCache>
            </c:numRef>
          </c:val>
          <c:extLst>
            <c:ext xmlns:c16="http://schemas.microsoft.com/office/drawing/2014/chart" uri="{C3380CC4-5D6E-409C-BE32-E72D297353CC}">
              <c16:uniqueId val="{00000000-CF89-4EE2-B247-015DBA780627}"/>
            </c:ext>
          </c:extLst>
        </c:ser>
        <c:dLbls>
          <c:showLegendKey val="0"/>
          <c:showVal val="0"/>
          <c:showCatName val="0"/>
          <c:showSerName val="0"/>
          <c:showPercent val="0"/>
          <c:showBubbleSize val="0"/>
        </c:dLbls>
        <c:gapWidth val="150"/>
        <c:shape val="box"/>
        <c:axId val="1418594927"/>
        <c:axId val="1418596367"/>
        <c:axId val="0"/>
      </c:bar3DChart>
      <c:catAx>
        <c:axId val="141859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596367"/>
        <c:crosses val="autoZero"/>
        <c:auto val="1"/>
        <c:lblAlgn val="ctr"/>
        <c:lblOffset val="100"/>
        <c:noMultiLvlLbl val="0"/>
      </c:catAx>
      <c:valAx>
        <c:axId val="141859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59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6.xlsx]Sheet6!PivotTable8</c:name>
    <c:fmtId val="2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Task Done By Managers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Sheet6!$A$4:$A$9</c:f>
              <c:strCache>
                <c:ptCount val="5"/>
                <c:pt idx="0">
                  <c:v>Mike Brown</c:v>
                </c:pt>
                <c:pt idx="1">
                  <c:v>John Doe</c:v>
                </c:pt>
                <c:pt idx="2">
                  <c:v>David White</c:v>
                </c:pt>
                <c:pt idx="3">
                  <c:v>Chris Green</c:v>
                </c:pt>
                <c:pt idx="4">
                  <c:v>Andrew Blue</c:v>
                </c:pt>
              </c:strCache>
            </c:strRef>
          </c:cat>
          <c:val>
            <c:numRef>
              <c:f>Sheet6!$B$4:$B$9</c:f>
              <c:numCache>
                <c:formatCode>General</c:formatCode>
                <c:ptCount val="5"/>
                <c:pt idx="0">
                  <c:v>3</c:v>
                </c:pt>
                <c:pt idx="1">
                  <c:v>3</c:v>
                </c:pt>
                <c:pt idx="2">
                  <c:v>1</c:v>
                </c:pt>
                <c:pt idx="3">
                  <c:v>1</c:v>
                </c:pt>
                <c:pt idx="4">
                  <c:v>1</c:v>
                </c:pt>
              </c:numCache>
            </c:numRef>
          </c:val>
          <c:extLst>
            <c:ext xmlns:c16="http://schemas.microsoft.com/office/drawing/2014/chart" uri="{C3380CC4-5D6E-409C-BE32-E72D297353CC}">
              <c16:uniqueId val="{00000000-D4E1-4B3E-A293-9C1EB2F87B18}"/>
            </c:ext>
          </c:extLst>
        </c:ser>
        <c:dLbls>
          <c:showLegendKey val="0"/>
          <c:showVal val="1"/>
          <c:showCatName val="0"/>
          <c:showSerName val="0"/>
          <c:showPercent val="0"/>
          <c:showBubbleSize val="0"/>
        </c:dLbls>
        <c:gapWidth val="84"/>
        <c:gapDepth val="53"/>
        <c:shape val="box"/>
        <c:axId val="1418578607"/>
        <c:axId val="1418591567"/>
        <c:axId val="0"/>
      </c:bar3DChart>
      <c:catAx>
        <c:axId val="141857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8591567"/>
        <c:crosses val="autoZero"/>
        <c:auto val="1"/>
        <c:lblAlgn val="ctr"/>
        <c:lblOffset val="100"/>
        <c:noMultiLvlLbl val="0"/>
      </c:catAx>
      <c:valAx>
        <c:axId val="1418591567"/>
        <c:scaling>
          <c:orientation val="minMax"/>
        </c:scaling>
        <c:delete val="1"/>
        <c:axPos val="b"/>
        <c:numFmt formatCode="General" sourceLinked="1"/>
        <c:majorTickMark val="out"/>
        <c:minorTickMark val="none"/>
        <c:tickLblPos val="nextTo"/>
        <c:crossAx val="141857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6.xlsx]Sheet7!PivotTable9</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a:t>
            </a:r>
            <a:r>
              <a:rPr lang="en-IN" baseline="0"/>
              <a:t> Of Units Produced By year &amp; Month</a:t>
            </a:r>
          </a:p>
        </c:rich>
      </c:tx>
      <c:layout>
        <c:manualLayout>
          <c:xMode val="edge"/>
          <c:yMode val="edge"/>
          <c:x val="0.14623600174978124"/>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Sheet7!$B$3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Sheet7!$A$4:$A$11</c:f>
              <c:multiLvlStrCache>
                <c:ptCount val="5"/>
                <c:lvl>
                  <c:pt idx="0">
                    <c:v>Oct</c:v>
                  </c:pt>
                  <c:pt idx="1">
                    <c:v>Dec</c:v>
                  </c:pt>
                  <c:pt idx="2">
                    <c:v>Jan</c:v>
                  </c:pt>
                  <c:pt idx="3">
                    <c:v>Feb</c:v>
                  </c:pt>
                  <c:pt idx="4">
                    <c:v>Mar</c:v>
                  </c:pt>
                </c:lvl>
                <c:lvl>
                  <c:pt idx="0">
                    <c:v>2023</c:v>
                  </c:pt>
                  <c:pt idx="2">
                    <c:v>2024</c:v>
                  </c:pt>
                </c:lvl>
              </c:multiLvlStrCache>
            </c:multiLvlStrRef>
          </c:cat>
          <c:val>
            <c:numRef>
              <c:f>Sheet7!$B$4:$B$11</c:f>
              <c:numCache>
                <c:formatCode>General</c:formatCode>
                <c:ptCount val="5"/>
                <c:pt idx="0">
                  <c:v>384</c:v>
                </c:pt>
                <c:pt idx="1">
                  <c:v>366</c:v>
                </c:pt>
                <c:pt idx="2">
                  <c:v>518</c:v>
                </c:pt>
                <c:pt idx="3">
                  <c:v>902</c:v>
                </c:pt>
                <c:pt idx="4">
                  <c:v>770</c:v>
                </c:pt>
              </c:numCache>
            </c:numRef>
          </c:val>
          <c:smooth val="0"/>
          <c:extLst>
            <c:ext xmlns:c16="http://schemas.microsoft.com/office/drawing/2014/chart" uri="{C3380CC4-5D6E-409C-BE32-E72D297353CC}">
              <c16:uniqueId val="{00000000-15C0-4507-BCA6-3FD8F2044FC8}"/>
            </c:ext>
          </c:extLst>
        </c:ser>
        <c:dLbls>
          <c:showLegendKey val="0"/>
          <c:showVal val="0"/>
          <c:showCatName val="0"/>
          <c:showSerName val="0"/>
          <c:showPercent val="0"/>
          <c:showBubbleSize val="0"/>
        </c:dLbls>
        <c:axId val="1418562767"/>
        <c:axId val="1418555087"/>
        <c:axId val="1566286095"/>
      </c:line3DChart>
      <c:catAx>
        <c:axId val="141856276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18555087"/>
        <c:crosses val="autoZero"/>
        <c:auto val="1"/>
        <c:lblAlgn val="ctr"/>
        <c:lblOffset val="100"/>
        <c:noMultiLvlLbl val="0"/>
      </c:catAx>
      <c:valAx>
        <c:axId val="141855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18562767"/>
        <c:crosses val="autoZero"/>
        <c:crossBetween val="between"/>
      </c:valAx>
      <c:serAx>
        <c:axId val="1566286095"/>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5550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2">
          <a:lumMod val="1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[Session 6.xlsx]Sheet8!PivotTable10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Production Cost Per Unit For Product Typ.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804-4008-AE5F-3C15FF1B775C}"/>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804-4008-AE5F-3C15FF1B775C}"/>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804-4008-AE5F-3C15FF1B775C}"/>
              </c:ext>
            </c:extLst>
          </c:dPt>
          <c:dPt>
            <c:idx val="3"/>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804-4008-AE5F-3C15FF1B775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Sheet8!$A$4:$A$7</c:f>
              <c:strCache>
                <c:ptCount val="3"/>
                <c:pt idx="0">
                  <c:v>Automobiles</c:v>
                </c:pt>
                <c:pt idx="1">
                  <c:v>Furniture</c:v>
                </c:pt>
                <c:pt idx="2">
                  <c:v>Machinery</c:v>
                </c:pt>
              </c:strCache>
            </c:strRef>
          </c:cat>
          <c:val>
            <c:numRef>
              <c:f>Sheet8!$B$4:$B$7</c:f>
              <c:numCache>
                <c:formatCode>0.00</c:formatCode>
                <c:ptCount val="3"/>
                <c:pt idx="0">
                  <c:v>63.295884931027373</c:v>
                </c:pt>
                <c:pt idx="1">
                  <c:v>105.63802083333333</c:v>
                </c:pt>
                <c:pt idx="2">
                  <c:v>67.992345976051539</c:v>
                </c:pt>
              </c:numCache>
            </c:numRef>
          </c:val>
          <c:extLst>
            <c:ext xmlns:c16="http://schemas.microsoft.com/office/drawing/2014/chart" uri="{C3380CC4-5D6E-409C-BE32-E72D297353CC}">
              <c16:uniqueId val="{00000008-0804-4008-AE5F-3C15FF1B775C}"/>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11</xdr:col>
      <xdr:colOff>297180</xdr:colOff>
      <xdr:row>21</xdr:row>
      <xdr:rowOff>41910</xdr:rowOff>
    </xdr:to>
    <xdr:graphicFrame macro="">
      <xdr:nvGraphicFramePr>
        <xdr:cNvPr id="2" name="Chart 1">
          <a:extLst>
            <a:ext uri="{FF2B5EF4-FFF2-40B4-BE49-F238E27FC236}">
              <a16:creationId xmlns:a16="http://schemas.microsoft.com/office/drawing/2014/main" id="{5C1454EA-3582-C5F1-45F3-EE4335D9E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0251C56E-9389-D505-00D7-C4BFB5728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76F077C9-4BC0-5791-003E-2BD106559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403860</xdr:colOff>
      <xdr:row>3</xdr:row>
      <xdr:rowOff>99060</xdr:rowOff>
    </xdr:from>
    <xdr:to>
      <xdr:col>10</xdr:col>
      <xdr:colOff>502920</xdr:colOff>
      <xdr:row>21</xdr:row>
      <xdr:rowOff>60960</xdr:rowOff>
    </xdr:to>
    <xdr:graphicFrame macro="">
      <xdr:nvGraphicFramePr>
        <xdr:cNvPr id="2" name="Chart 1">
          <a:extLst>
            <a:ext uri="{FF2B5EF4-FFF2-40B4-BE49-F238E27FC236}">
              <a16:creationId xmlns:a16="http://schemas.microsoft.com/office/drawing/2014/main" id="{2F4E804A-82AD-F487-F57B-355151684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45721</xdr:colOff>
      <xdr:row>5</xdr:row>
      <xdr:rowOff>106680</xdr:rowOff>
    </xdr:from>
    <xdr:to>
      <xdr:col>10</xdr:col>
      <xdr:colOff>248480</xdr:colOff>
      <xdr:row>19</xdr:row>
      <xdr:rowOff>24848</xdr:rowOff>
    </xdr:to>
    <xdr:graphicFrame macro="">
      <xdr:nvGraphicFramePr>
        <xdr:cNvPr id="2" name="Chart 1">
          <a:extLst>
            <a:ext uri="{FF2B5EF4-FFF2-40B4-BE49-F238E27FC236}">
              <a16:creationId xmlns:a16="http://schemas.microsoft.com/office/drawing/2014/main" id="{E0BFB268-B035-4F6C-889F-FA4A426E5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367749</xdr:colOff>
      <xdr:row>5</xdr:row>
      <xdr:rowOff>121922</xdr:rowOff>
    </xdr:from>
    <xdr:to>
      <xdr:col>17</xdr:col>
      <xdr:colOff>391027</xdr:colOff>
      <xdr:row>19</xdr:row>
      <xdr:rowOff>40106</xdr:rowOff>
    </xdr:to>
    <xdr:graphicFrame macro="">
      <xdr:nvGraphicFramePr>
        <xdr:cNvPr id="3" name="Chart 2">
          <a:extLst>
            <a:ext uri="{FF2B5EF4-FFF2-40B4-BE49-F238E27FC236}">
              <a16:creationId xmlns:a16="http://schemas.microsoft.com/office/drawing/2014/main" id="{04E06EAE-DCE1-4828-9139-A827CA42F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53341</xdr:colOff>
      <xdr:row>19</xdr:row>
      <xdr:rowOff>112643</xdr:rowOff>
    </xdr:from>
    <xdr:to>
      <xdr:col>10</xdr:col>
      <xdr:colOff>248480</xdr:colOff>
      <xdr:row>34</xdr:row>
      <xdr:rowOff>8283</xdr:rowOff>
    </xdr:to>
    <xdr:graphicFrame macro="">
      <xdr:nvGraphicFramePr>
        <xdr:cNvPr id="4" name="Chart 3">
          <a:extLst>
            <a:ext uri="{FF2B5EF4-FFF2-40B4-BE49-F238E27FC236}">
              <a16:creationId xmlns:a16="http://schemas.microsoft.com/office/drawing/2014/main" id="{F4BD1895-4363-48C5-B306-2ADE27717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358804</xdr:colOff>
      <xdr:row>19</xdr:row>
      <xdr:rowOff>154057</xdr:rowOff>
    </xdr:from>
    <xdr:to>
      <xdr:col>17</xdr:col>
      <xdr:colOff>389282</xdr:colOff>
      <xdr:row>34</xdr:row>
      <xdr:rowOff>33131</xdr:rowOff>
    </xdr:to>
    <xdr:graphicFrame macro="">
      <xdr:nvGraphicFramePr>
        <xdr:cNvPr id="5" name="Chart 4">
          <a:extLst>
            <a:ext uri="{FF2B5EF4-FFF2-40B4-BE49-F238E27FC236}">
              <a16:creationId xmlns:a16="http://schemas.microsoft.com/office/drawing/2014/main" id="{81DAE982-679E-482D-BB21-6D3AA2A1E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121920</xdr:colOff>
      <xdr:row>5</xdr:row>
      <xdr:rowOff>167641</xdr:rowOff>
    </xdr:from>
    <xdr:to>
      <xdr:col>2</xdr:col>
      <xdr:colOff>594360</xdr:colOff>
      <xdr:row>11</xdr:row>
      <xdr:rowOff>0</xdr:rowOff>
    </xdr:to>
    <mc:AlternateContent xmlns:mc="http://schemas.openxmlformats.org/markup-compatibility/2006" xmlns:a14="http://schemas.microsoft.com/office/drawing/2010/main">
      <mc:Choice Requires="a14">
        <xdr:graphicFrame macro="">
          <xdr:nvGraphicFramePr>
            <xdr:cNvPr id="6" name="Cleaned Gender">
              <a:extLst>
                <a:ext uri="{FF2B5EF4-FFF2-40B4-BE49-F238E27FC236}">
                  <a16:creationId xmlns:a16="http://schemas.microsoft.com/office/drawing/2014/main" id="{CFEC8E1A-C214-AF20-EB7B-069970441B24}"/>
                </a:ext>
              </a:extLst>
            </xdr:cNvPr>
            <xdr:cNvGraphicFramePr/>
          </xdr:nvGraphicFramePr>
          <xdr:xfrm>
            <a:off x="0" y="0"/>
            <a:ext cx="0" cy="0"/>
          </xdr:xfrm>
          <a:graphic>
            <a:graphicData uri="http://schemas.microsoft.com/office/drawing/2010/slicer">
              <sle:slicer xmlns:sle="http://schemas.microsoft.com/office/drawing/2010/slicer" name="Cleaned Gender"/>
            </a:graphicData>
          </a:graphic>
        </xdr:graphicFrame>
      </mc:Choice>
      <mc:Fallback xmlns="">
        <xdr:sp macro="" textlink="">
          <xdr:nvSpPr>
            <xdr:cNvPr id="0" name=""/>
            <xdr:cNvSpPr>
              <a:spLocks noTextEdit="1"/>
            </xdr:cNvSpPr>
          </xdr:nvSpPr>
          <xdr:spPr>
            <a:xfrm>
              <a:off x="76200" y="1082041"/>
              <a:ext cx="173736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13</xdr:row>
      <xdr:rowOff>109221</xdr:rowOff>
    </xdr:from>
    <xdr:to>
      <xdr:col>2</xdr:col>
      <xdr:colOff>584200</xdr:colOff>
      <xdr:row>21</xdr:row>
      <xdr:rowOff>132080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295E203-EE52-8C55-7AF0-5B83EEE5D7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 y="2455379"/>
              <a:ext cx="1685491" cy="1466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24</xdr:row>
      <xdr:rowOff>7619</xdr:rowOff>
    </xdr:from>
    <xdr:to>
      <xdr:col>2</xdr:col>
      <xdr:colOff>591820</xdr:colOff>
      <xdr:row>31</xdr:row>
      <xdr:rowOff>15240</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FD7CF775-8EF0-257B-0606-8A8A26D0050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27000" y="4338987"/>
              <a:ext cx="1688031" cy="1270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562048</xdr:colOff>
      <xdr:row>16</xdr:row>
      <xdr:rowOff>168737</xdr:rowOff>
    </xdr:from>
    <xdr:to>
      <xdr:col>21</xdr:col>
      <xdr:colOff>523948</xdr:colOff>
      <xdr:row>22</xdr:row>
      <xdr:rowOff>18081</xdr:rowOff>
    </xdr:to>
    <xdr:sp macro="" textlink="">
      <xdr:nvSpPr>
        <xdr:cNvPr id="9" name="Rectangle: Rounded Corners 8">
          <a:extLst>
            <a:ext uri="{FF2B5EF4-FFF2-40B4-BE49-F238E27FC236}">
              <a16:creationId xmlns:a16="http://schemas.microsoft.com/office/drawing/2014/main" id="{F659D8AE-FE9D-AF74-44E3-8725CC35DD5F}"/>
            </a:ext>
          </a:extLst>
        </xdr:cNvPr>
        <xdr:cNvSpPr/>
      </xdr:nvSpPr>
      <xdr:spPr>
        <a:xfrm>
          <a:off x="10959337" y="3056316"/>
          <a:ext cx="2408322" cy="93218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rPr>
            <a:t>Total Cost</a:t>
          </a:r>
        </a:p>
      </xdr:txBody>
    </xdr:sp>
    <xdr:clientData/>
  </xdr:twoCellAnchor>
  <xdr:twoCellAnchor>
    <xdr:from>
      <xdr:col>18</xdr:col>
      <xdr:colOff>229576</xdr:colOff>
      <xdr:row>19</xdr:row>
      <xdr:rowOff>42774</xdr:rowOff>
    </xdr:from>
    <xdr:to>
      <xdr:col>21</xdr:col>
      <xdr:colOff>267676</xdr:colOff>
      <xdr:row>21</xdr:row>
      <xdr:rowOff>78468</xdr:rowOff>
    </xdr:to>
    <xdr:sp macro="" textlink="AG9">
      <xdr:nvSpPr>
        <xdr:cNvPr id="11" name="TextBox 10">
          <a:extLst>
            <a:ext uri="{FF2B5EF4-FFF2-40B4-BE49-F238E27FC236}">
              <a16:creationId xmlns:a16="http://schemas.microsoft.com/office/drawing/2014/main" id="{465D3CBB-C922-15BC-A7A2-06B161274860}"/>
            </a:ext>
          </a:extLst>
        </xdr:cNvPr>
        <xdr:cNvSpPr txBox="1"/>
      </xdr:nvSpPr>
      <xdr:spPr>
        <a:xfrm>
          <a:off x="11238471" y="3471774"/>
          <a:ext cx="1872916" cy="396641"/>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235F8E-C38A-411E-A79D-A441ACD361E1}" type="TxLink">
            <a:rPr lang="en-US" sz="2400" b="0" i="0" u="none" strike="noStrike">
              <a:solidFill>
                <a:srgbClr val="000000"/>
              </a:solidFill>
              <a:latin typeface="Calibri"/>
              <a:ea typeface="Calibri"/>
              <a:cs typeface="Calibri"/>
            </a:rPr>
            <a:pPr algn="ctr"/>
            <a:t>206712</a:t>
          </a:fld>
          <a:endParaRPr lang="en-IN" sz="2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Dhyani" refreshedDate="46072.557808680554" createdVersion="8" refreshedVersion="8" minRefreshableVersion="3" recordCount="120" xr:uid="{BA6FEB95-C79E-4D4E-BA4B-16B6AD3493A9}">
  <cacheSource type="worksheet">
    <worksheetSource ref="A1:M121" sheet="Unclean Dataset for Dashboard"/>
  </cacheSource>
  <cacheFields count="16">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09-22T00:00:00"/>
        <d v="2023-09-24T00:00:00"/>
        <d v="2023-09-28T00:00:00"/>
        <d v="2023-10-01T00:00:00"/>
        <d v="2023-10-08T00:00:00"/>
        <d v="2023-10-15T00:00:00"/>
        <d v="2023-10-16T00:00:00"/>
        <d v="2023-10-17T00:00:00"/>
        <d v="2023-10-18T00:00:00"/>
        <d v="2023-10-22T00:00:00"/>
        <d v="2023-10-29T00:00:00"/>
        <d v="2023-10-31T00:00:00"/>
        <d v="2023-11-02T00:00:00"/>
        <d v="2023-11-03T00:00:00"/>
        <d v="2023-11-04T00:00:00"/>
        <d v="2023-11-05T00:00:00"/>
        <d v="2023-11-10T00:00:00"/>
        <d v="2023-11-13T00:00:00"/>
        <d v="2023-11-19T00:00:00"/>
        <d v="2023-11-21T00:00:00"/>
        <d v="2023-11-22T00:00:00"/>
        <d v="2023-11-24T00:00:00"/>
        <d v="2023-11-26T00:00:00"/>
        <d v="2023-12-04T00:00:00"/>
        <d v="2023-12-13T00:00:00"/>
        <d v="2023-12-14T00:00:00"/>
        <d v="2023-12-17T00:00:00"/>
        <d v="2023-12-22T00:00:00"/>
        <d v="2023-12-26T00:00:00"/>
        <d v="2023-12-29T00:00:00"/>
        <d v="2024-01-01T00:00:00"/>
        <d v="2024-01-02T00:00:00"/>
        <d v="2024-01-03T00:00:00"/>
        <d v="2024-01-05T00:00:00"/>
        <d v="2024-01-08T00:00:00"/>
        <d v="2024-01-13T00:00:00"/>
        <d v="2024-01-14T00:00:00"/>
        <d v="2024-01-16T00:00:00"/>
        <d v="2024-01-18T00:00:00"/>
        <d v="2024-01-27T00:00:00"/>
        <d v="2024-02-07T00:00:00"/>
        <d v="2024-02-08T00:00:00"/>
        <d v="2024-02-13T00:00:00"/>
        <d v="2024-02-17T00:00:00"/>
        <d v="2024-02-25T00:00:00"/>
        <d v="2024-02-26T00:00:00"/>
        <d v="2024-02-28T00:00:00"/>
        <d v="2024-03-05T00:00:00"/>
        <d v="2024-03-06T00:00:00"/>
        <d v="2024-03-10T00:00:00"/>
        <d v="2024-03-13T00:00:00"/>
        <d v="2024-03-18T00:00:00"/>
        <d v="2024-03-19T00:00:00"/>
        <d v="2024-03-20T00:00:00"/>
        <d v="2024-03-21T00:00:00"/>
        <d v="2024-03-23T00:00:00"/>
        <d v="2024-03-26T00:00:00"/>
        <d v="2024-03-27T00:00:00"/>
        <d v="2024-03-29T00:00:00"/>
        <d v="2024-03-30T00:00:00"/>
        <d v="2024-04-01T00:00:00"/>
        <d v="2024-04-08T00:00:00"/>
        <d v="2024-04-10T00:00:00"/>
        <d v="2024-04-16T00:00:00"/>
        <d v="2024-04-25T00:00:00"/>
        <d v="2024-04-28T00:00:00"/>
        <d v="2024-04-30T00:00:00"/>
        <d v="2024-05-08T00:00:00"/>
        <d v="2024-05-10T00:00:00"/>
        <d v="2024-05-12T00:00:00"/>
        <d v="2024-05-15T00:00:00"/>
        <d v="2024-05-20T00:00:00"/>
        <d v="2024-06-01T00:00:00"/>
        <d v="2024-06-06T00:00:00"/>
        <d v="2024-06-08T00:00:00"/>
        <d v="2024-06-10T00:00:00"/>
        <d v="2024-06-14T00:00:00"/>
        <d v="2024-06-15T00:00:00"/>
        <d v="2024-06-21T00:00:00"/>
        <d v="2024-06-22T00:00:00"/>
        <d v="2024-06-24T00:00:00"/>
        <d v="2024-06-26T00:00:00"/>
        <d v="2024-06-29T00:00:00"/>
        <d v="2024-07-05T00:00:00"/>
        <d v="2024-07-16T00:00:00"/>
        <d v="2024-07-24T00:00:00"/>
        <d v="2024-07-31T00:00:00"/>
        <d v="2024-08-02T00:00:00"/>
        <d v="2024-08-04T00:00:00"/>
        <d v="2024-08-06T00:00:00"/>
        <d v="2024-08-07T00:00:00"/>
        <d v="2024-08-16T00:00:00"/>
        <d v="2024-08-17T00:00:00"/>
        <d v="2024-08-23T00:00:00"/>
        <d v="2024-08-26T00:00:00"/>
        <d v="2024-08-28T00:00:00"/>
        <d v="2024-09-08T00:00:00"/>
        <d v="2024-09-09T00:00:00"/>
        <d v="2024-09-14T00:00:00"/>
      </sharedItems>
      <fieldGroup par="15"/>
    </cacheField>
    <cacheField name="Region" numFmtId="0">
      <sharedItems count="4">
        <s v="North"/>
        <s v="West"/>
        <s v="South"/>
        <s v="East"/>
      </sharedItems>
    </cacheField>
    <cacheField name="Manager" numFmtId="0">
      <sharedItems count="10">
        <s v="Jane Smith"/>
        <s v="Nancy Grey"/>
        <s v="Laura Black"/>
        <s v="Emily Davis"/>
        <s v="Andrew Blue"/>
        <s v="Mike Brown"/>
        <s v="John Doe"/>
        <s v="David White"/>
        <s v="Chris Green"/>
        <s v="Sarah Lee"/>
      </sharedItems>
    </cacheField>
    <cacheField name="ProductType" numFmtId="0">
      <sharedItems count="4">
        <s v="Electronics"/>
        <s v="Automobiles"/>
        <s v="Machinery"/>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Age" numFmtId="0">
      <sharedItems containsSemiMixedTypes="0" containsString="0" containsNumber="1" containsInteger="1" minValue="25" maxValue="57"/>
    </cacheField>
    <cacheField name="Cleaned age " numFmtId="0">
      <sharedItems containsSemiMixedTypes="0" containsString="0" containsNumber="1" containsInteger="1" minValue="25" maxValue="57"/>
    </cacheField>
    <cacheField name="Cleaned Gender" numFmtId="0">
      <sharedItems count="2">
        <s v="Female"/>
        <s v="Male"/>
      </sharedItems>
    </cacheField>
    <cacheField name="Age Group" numFmtId="0">
      <sharedItems count="3">
        <s v="A1"/>
        <s v="A2"/>
        <s v="A3"/>
      </sharedItems>
    </cacheField>
    <cacheField name="Production Cost Per Unit" numFmtId="2">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70977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8"/>
    <x v="0"/>
    <x v="0"/>
    <x v="0"/>
    <x v="0"/>
    <n v="214"/>
    <n v="11954"/>
    <s v="Female"/>
    <n v="26"/>
    <n v="26"/>
    <x v="0"/>
    <x v="0"/>
    <n v="55.859813084112147"/>
  </r>
  <r>
    <n v="56"/>
    <x v="1"/>
    <x v="1"/>
    <x v="1"/>
    <x v="1"/>
    <n v="344"/>
    <n v="13872"/>
    <s v="Female"/>
    <n v="42"/>
    <n v="42"/>
    <x v="0"/>
    <x v="1"/>
    <n v="40.325581395348834"/>
  </r>
  <r>
    <n v="74"/>
    <x v="2"/>
    <x v="1"/>
    <x v="2"/>
    <x v="0"/>
    <n v="213"/>
    <n v="42028"/>
    <s v="Female"/>
    <n v="52"/>
    <n v="52"/>
    <x v="0"/>
    <x v="2"/>
    <n v="197.31455399061034"/>
  </r>
  <r>
    <n v="30"/>
    <x v="3"/>
    <x v="1"/>
    <x v="3"/>
    <x v="1"/>
    <n v="290"/>
    <n v="15132"/>
    <s v="Null"/>
    <n v="25"/>
    <n v="25"/>
    <x v="0"/>
    <x v="0"/>
    <n v="52.179310344827584"/>
  </r>
  <r>
    <n v="46"/>
    <x v="4"/>
    <x v="1"/>
    <x v="4"/>
    <x v="1"/>
    <n v="231"/>
    <n v="32045"/>
    <s v="Female"/>
    <n v="28"/>
    <n v="28"/>
    <x v="1"/>
    <x v="0"/>
    <n v="138.72294372294371"/>
  </r>
  <r>
    <n v="35"/>
    <x v="5"/>
    <x v="1"/>
    <x v="2"/>
    <x v="2"/>
    <n v="260"/>
    <n v="34680"/>
    <s v="Male"/>
    <n v="53"/>
    <n v="52"/>
    <x v="0"/>
    <x v="2"/>
    <n v="133.38461538461539"/>
  </r>
  <r>
    <n v="4"/>
    <x v="5"/>
    <x v="1"/>
    <x v="5"/>
    <x v="2"/>
    <n v="459"/>
    <n v="17069"/>
    <s v="Null"/>
    <n v="57"/>
    <n v="57"/>
    <x v="1"/>
    <x v="2"/>
    <n v="37.187363834422655"/>
  </r>
  <r>
    <n v="101"/>
    <x v="6"/>
    <x v="2"/>
    <x v="6"/>
    <x v="3"/>
    <n v="384"/>
    <n v="40565"/>
    <s v="Female"/>
    <n v="25"/>
    <n v="25"/>
    <x v="1"/>
    <x v="0"/>
    <n v="105.63802083333333"/>
  </r>
  <r>
    <n v="17"/>
    <x v="6"/>
    <x v="1"/>
    <x v="1"/>
    <x v="2"/>
    <n v="240"/>
    <n v="65052"/>
    <s v="Female"/>
    <n v="45"/>
    <n v="42"/>
    <x v="0"/>
    <x v="1"/>
    <n v="271.05"/>
  </r>
  <r>
    <n v="53"/>
    <x v="7"/>
    <x v="3"/>
    <x v="1"/>
    <x v="2"/>
    <n v="63"/>
    <n v="3960"/>
    <s v="Male"/>
    <n v="48"/>
    <n v="42"/>
    <x v="0"/>
    <x v="1"/>
    <n v="62.857142857142854"/>
  </r>
  <r>
    <n v="76"/>
    <x v="8"/>
    <x v="0"/>
    <x v="6"/>
    <x v="0"/>
    <n v="208"/>
    <n v="25758"/>
    <s v="Null"/>
    <n v="46"/>
    <n v="25"/>
    <x v="1"/>
    <x v="0"/>
    <n v="123.83653846153847"/>
  </r>
  <r>
    <n v="9"/>
    <x v="8"/>
    <x v="1"/>
    <x v="1"/>
    <x v="0"/>
    <n v="55"/>
    <n v="25893"/>
    <s v="Male"/>
    <n v="30"/>
    <n v="42"/>
    <x v="0"/>
    <x v="1"/>
    <n v="470.78181818181821"/>
  </r>
  <r>
    <n v="40"/>
    <x v="9"/>
    <x v="3"/>
    <x v="2"/>
    <x v="1"/>
    <n v="165"/>
    <n v="679"/>
    <s v="Male"/>
    <n v="32"/>
    <n v="52"/>
    <x v="0"/>
    <x v="2"/>
    <n v="4.1151515151515152"/>
  </r>
  <r>
    <n v="47"/>
    <x v="10"/>
    <x v="3"/>
    <x v="5"/>
    <x v="1"/>
    <n v="288"/>
    <n v="33284"/>
    <s v="Female"/>
    <n v="26"/>
    <n v="57"/>
    <x v="1"/>
    <x v="2"/>
    <n v="115.56944444444444"/>
  </r>
  <r>
    <n v="36"/>
    <x v="11"/>
    <x v="1"/>
    <x v="0"/>
    <x v="2"/>
    <n v="460"/>
    <n v="50274"/>
    <s v="Male"/>
    <n v="26"/>
    <n v="26"/>
    <x v="0"/>
    <x v="0"/>
    <n v="109.29130434782608"/>
  </r>
  <r>
    <n v="115"/>
    <x v="12"/>
    <x v="1"/>
    <x v="0"/>
    <x v="1"/>
    <n v="541"/>
    <n v="42432"/>
    <s v="Female"/>
    <n v="35"/>
    <n v="26"/>
    <x v="0"/>
    <x v="0"/>
    <n v="78.432532347504619"/>
  </r>
  <r>
    <n v="70"/>
    <x v="12"/>
    <x v="0"/>
    <x v="1"/>
    <x v="3"/>
    <n v="335"/>
    <n v="36984"/>
    <s v="Female"/>
    <n v="32"/>
    <n v="42"/>
    <x v="0"/>
    <x v="1"/>
    <n v="110.4"/>
  </r>
  <r>
    <n v="114"/>
    <x v="13"/>
    <x v="0"/>
    <x v="5"/>
    <x v="1"/>
    <n v="126"/>
    <n v="40446"/>
    <s v="Null"/>
    <n v="31"/>
    <n v="57"/>
    <x v="1"/>
    <x v="2"/>
    <n v="321"/>
  </r>
  <r>
    <n v="50"/>
    <x v="14"/>
    <x v="0"/>
    <x v="6"/>
    <x v="3"/>
    <n v="177"/>
    <n v="30600"/>
    <s v="Male"/>
    <n v="26"/>
    <n v="25"/>
    <x v="1"/>
    <x v="0"/>
    <n v="172.88135593220338"/>
  </r>
  <r>
    <n v="25"/>
    <x v="15"/>
    <x v="1"/>
    <x v="0"/>
    <x v="1"/>
    <n v="439"/>
    <n v="31392"/>
    <s v="Male"/>
    <n v="38"/>
    <n v="26"/>
    <x v="0"/>
    <x v="0"/>
    <n v="71.50797266514806"/>
  </r>
  <r>
    <n v="116"/>
    <x v="16"/>
    <x v="0"/>
    <x v="4"/>
    <x v="3"/>
    <n v="666"/>
    <n v="64635"/>
    <s v="Male"/>
    <n v="35"/>
    <n v="28"/>
    <x v="1"/>
    <x v="0"/>
    <n v="97.049549549549553"/>
  </r>
  <r>
    <n v="104"/>
    <x v="17"/>
    <x v="1"/>
    <x v="1"/>
    <x v="2"/>
    <n v="359"/>
    <n v="12753"/>
    <s v="Male"/>
    <n v="36"/>
    <n v="42"/>
    <x v="0"/>
    <x v="1"/>
    <n v="35.523676880222844"/>
  </r>
  <r>
    <n v="67"/>
    <x v="18"/>
    <x v="1"/>
    <x v="0"/>
    <x v="1"/>
    <n v="511"/>
    <n v="16698"/>
    <s v="Null"/>
    <n v="33"/>
    <n v="26"/>
    <x v="0"/>
    <x v="0"/>
    <n v="32.677103718199611"/>
  </r>
  <r>
    <n v="34"/>
    <x v="19"/>
    <x v="1"/>
    <x v="7"/>
    <x v="2"/>
    <n v="333"/>
    <n v="48000"/>
    <s v="Female"/>
    <n v="28"/>
    <n v="28"/>
    <x v="1"/>
    <x v="0"/>
    <n v="144.14414414414415"/>
  </r>
  <r>
    <n v="43"/>
    <x v="20"/>
    <x v="0"/>
    <x v="1"/>
    <x v="1"/>
    <n v="354"/>
    <n v="679"/>
    <s v="Male"/>
    <n v="32"/>
    <n v="42"/>
    <x v="0"/>
    <x v="1"/>
    <n v="1.9180790960451977"/>
  </r>
  <r>
    <n v="83"/>
    <x v="21"/>
    <x v="1"/>
    <x v="0"/>
    <x v="2"/>
    <n v="545"/>
    <n v="65250"/>
    <s v="Female"/>
    <n v="33"/>
    <n v="26"/>
    <x v="0"/>
    <x v="0"/>
    <n v="119.72477064220183"/>
  </r>
  <r>
    <n v="20"/>
    <x v="21"/>
    <x v="1"/>
    <x v="1"/>
    <x v="0"/>
    <n v="331"/>
    <n v="27140"/>
    <s v="Male"/>
    <n v="37"/>
    <n v="42"/>
    <x v="0"/>
    <x v="1"/>
    <n v="81.993957703927492"/>
  </r>
  <r>
    <n v="109"/>
    <x v="22"/>
    <x v="3"/>
    <x v="7"/>
    <x v="1"/>
    <n v="86"/>
    <n v="25853"/>
    <s v="Female"/>
    <n v="35"/>
    <n v="28"/>
    <x v="1"/>
    <x v="0"/>
    <n v="300.61627906976742"/>
  </r>
  <r>
    <n v="108"/>
    <x v="23"/>
    <x v="1"/>
    <x v="1"/>
    <x v="1"/>
    <n v="214"/>
    <n v="31122"/>
    <s v="Male"/>
    <n v="35"/>
    <n v="42"/>
    <x v="0"/>
    <x v="1"/>
    <n v="145.42990654205607"/>
  </r>
  <r>
    <n v="118"/>
    <x v="24"/>
    <x v="1"/>
    <x v="1"/>
    <x v="1"/>
    <n v="289"/>
    <n v="24948"/>
    <s v="Male"/>
    <n v="35"/>
    <n v="42"/>
    <x v="0"/>
    <x v="1"/>
    <n v="86.325259515570934"/>
  </r>
  <r>
    <n v="103"/>
    <x v="25"/>
    <x v="3"/>
    <x v="5"/>
    <x v="1"/>
    <n v="97"/>
    <n v="679"/>
    <s v="Female"/>
    <n v="35"/>
    <n v="57"/>
    <x v="1"/>
    <x v="2"/>
    <n v="7"/>
  </r>
  <r>
    <n v="93"/>
    <x v="26"/>
    <x v="2"/>
    <x v="7"/>
    <x v="1"/>
    <n v="366"/>
    <n v="4131"/>
    <s v="Male"/>
    <n v="30"/>
    <n v="28"/>
    <x v="1"/>
    <x v="0"/>
    <n v="11.28688524590164"/>
  </r>
  <r>
    <n v="98"/>
    <x v="27"/>
    <x v="1"/>
    <x v="5"/>
    <x v="2"/>
    <n v="222"/>
    <n v="17500"/>
    <s v="Male"/>
    <n v="30"/>
    <n v="57"/>
    <x v="1"/>
    <x v="2"/>
    <n v="78.828828828828833"/>
  </r>
  <r>
    <n v="61"/>
    <x v="28"/>
    <x v="1"/>
    <x v="2"/>
    <x v="1"/>
    <n v="151"/>
    <n v="8475"/>
    <s v="Female"/>
    <n v="35"/>
    <n v="52"/>
    <x v="0"/>
    <x v="2"/>
    <n v="56.12582781456954"/>
  </r>
  <r>
    <n v="100"/>
    <x v="28"/>
    <x v="1"/>
    <x v="2"/>
    <x v="0"/>
    <n v="307"/>
    <n v="679"/>
    <s v="Female"/>
    <n v="38"/>
    <n v="52"/>
    <x v="0"/>
    <x v="2"/>
    <n v="2.2117263843648209"/>
  </r>
  <r>
    <n v="28"/>
    <x v="28"/>
    <x v="1"/>
    <x v="5"/>
    <x v="1"/>
    <n v="444"/>
    <n v="7272"/>
    <s v="Male"/>
    <n v="29"/>
    <n v="57"/>
    <x v="1"/>
    <x v="2"/>
    <n v="16.378378378378379"/>
  </r>
  <r>
    <n v="90"/>
    <x v="29"/>
    <x v="1"/>
    <x v="0"/>
    <x v="3"/>
    <n v="404"/>
    <n v="13310"/>
    <s v="Female"/>
    <n v="27"/>
    <n v="26"/>
    <x v="0"/>
    <x v="0"/>
    <n v="32.945544554455445"/>
  </r>
  <r>
    <n v="58"/>
    <x v="30"/>
    <x v="2"/>
    <x v="1"/>
    <x v="1"/>
    <n v="160"/>
    <n v="59248"/>
    <s v="Female"/>
    <n v="38"/>
    <n v="42"/>
    <x v="0"/>
    <x v="1"/>
    <n v="370.3"/>
  </r>
  <r>
    <n v="97"/>
    <x v="31"/>
    <x v="1"/>
    <x v="6"/>
    <x v="0"/>
    <n v="368"/>
    <n v="25254"/>
    <s v="Female"/>
    <n v="35"/>
    <n v="25"/>
    <x v="1"/>
    <x v="0"/>
    <n v="68.625"/>
  </r>
  <r>
    <n v="22"/>
    <x v="32"/>
    <x v="1"/>
    <x v="8"/>
    <x v="2"/>
    <n v="180"/>
    <n v="33684"/>
    <s v="Female"/>
    <n v="49"/>
    <n v="49"/>
    <x v="1"/>
    <x v="2"/>
    <n v="187.13333333333333"/>
  </r>
  <r>
    <n v="57"/>
    <x v="33"/>
    <x v="1"/>
    <x v="6"/>
    <x v="3"/>
    <n v="255"/>
    <n v="57706"/>
    <s v="Female"/>
    <n v="28"/>
    <n v="25"/>
    <x v="1"/>
    <x v="0"/>
    <n v="226.29803921568629"/>
  </r>
  <r>
    <n v="24"/>
    <x v="33"/>
    <x v="2"/>
    <x v="5"/>
    <x v="2"/>
    <n v="458"/>
    <n v="42873"/>
    <s v="Female"/>
    <n v="27"/>
    <n v="57"/>
    <x v="1"/>
    <x v="2"/>
    <n v="93.609170305676855"/>
  </r>
  <r>
    <n v="8"/>
    <x v="34"/>
    <x v="1"/>
    <x v="7"/>
    <x v="0"/>
    <n v="447"/>
    <n v="52269"/>
    <s v="Male"/>
    <n v="36"/>
    <n v="28"/>
    <x v="1"/>
    <x v="0"/>
    <n v="116.93288590604027"/>
  </r>
  <r>
    <n v="21"/>
    <x v="35"/>
    <x v="2"/>
    <x v="1"/>
    <x v="2"/>
    <n v="250"/>
    <n v="11385"/>
    <s v="Male"/>
    <n v="33"/>
    <n v="42"/>
    <x v="0"/>
    <x v="1"/>
    <n v="45.54"/>
  </r>
  <r>
    <n v="88"/>
    <x v="36"/>
    <x v="0"/>
    <x v="4"/>
    <x v="3"/>
    <n v="264"/>
    <n v="75332"/>
    <s v="Female"/>
    <n v="36"/>
    <n v="28"/>
    <x v="1"/>
    <x v="0"/>
    <n v="285.34848484848487"/>
  </r>
  <r>
    <n v="119"/>
    <x v="36"/>
    <x v="1"/>
    <x v="5"/>
    <x v="0"/>
    <n v="199"/>
    <n v="56118"/>
    <s v="Null"/>
    <n v="32"/>
    <n v="57"/>
    <x v="1"/>
    <x v="2"/>
    <n v="282"/>
  </r>
  <r>
    <n v="86"/>
    <x v="37"/>
    <x v="2"/>
    <x v="4"/>
    <x v="1"/>
    <n v="60"/>
    <n v="5822"/>
    <s v="Male"/>
    <n v="33"/>
    <n v="28"/>
    <x v="1"/>
    <x v="0"/>
    <n v="97.033333333333331"/>
  </r>
  <r>
    <n v="85"/>
    <x v="38"/>
    <x v="1"/>
    <x v="1"/>
    <x v="0"/>
    <n v="192"/>
    <n v="18648"/>
    <s v="Female"/>
    <n v="31"/>
    <n v="42"/>
    <x v="0"/>
    <x v="1"/>
    <n v="97.125"/>
  </r>
  <r>
    <n v="16"/>
    <x v="39"/>
    <x v="0"/>
    <x v="0"/>
    <x v="3"/>
    <n v="193"/>
    <n v="18796"/>
    <s v="Male"/>
    <n v="36"/>
    <n v="26"/>
    <x v="0"/>
    <x v="0"/>
    <n v="97.388601036269435"/>
  </r>
  <r>
    <n v="92"/>
    <x v="40"/>
    <x v="2"/>
    <x v="6"/>
    <x v="2"/>
    <n v="214"/>
    <n v="4984"/>
    <s v="Male"/>
    <n v="30"/>
    <n v="25"/>
    <x v="1"/>
    <x v="0"/>
    <n v="23.289719626168225"/>
  </r>
  <r>
    <n v="87"/>
    <x v="41"/>
    <x v="1"/>
    <x v="1"/>
    <x v="3"/>
    <n v="209"/>
    <n v="51221"/>
    <s v="Female"/>
    <n v="27"/>
    <n v="42"/>
    <x v="0"/>
    <x v="1"/>
    <n v="245.07655502392345"/>
  </r>
  <r>
    <n v="11"/>
    <x v="42"/>
    <x v="1"/>
    <x v="3"/>
    <x v="2"/>
    <n v="494"/>
    <n v="46767"/>
    <s v="Female"/>
    <n v="32"/>
    <n v="25"/>
    <x v="0"/>
    <x v="0"/>
    <n v="94.670040485829958"/>
  </r>
  <r>
    <n v="81"/>
    <x v="42"/>
    <x v="3"/>
    <x v="1"/>
    <x v="1"/>
    <n v="32"/>
    <n v="3132"/>
    <s v="Male"/>
    <n v="27"/>
    <n v="42"/>
    <x v="0"/>
    <x v="1"/>
    <n v="97.875"/>
  </r>
  <r>
    <n v="29"/>
    <x v="43"/>
    <x v="1"/>
    <x v="1"/>
    <x v="0"/>
    <n v="499"/>
    <n v="48316"/>
    <s v="Female"/>
    <n v="28"/>
    <n v="42"/>
    <x v="0"/>
    <x v="1"/>
    <n v="96.825651302605209"/>
  </r>
  <r>
    <n v="96"/>
    <x v="44"/>
    <x v="0"/>
    <x v="4"/>
    <x v="1"/>
    <n v="128"/>
    <n v="35088"/>
    <s v="Male"/>
    <n v="36"/>
    <n v="28"/>
    <x v="1"/>
    <x v="0"/>
    <n v="274.125"/>
  </r>
  <r>
    <n v="89"/>
    <x v="45"/>
    <x v="1"/>
    <x v="0"/>
    <x v="0"/>
    <n v="97"/>
    <n v="679"/>
    <s v="Female"/>
    <n v="31"/>
    <n v="26"/>
    <x v="0"/>
    <x v="0"/>
    <n v="7"/>
  </r>
  <r>
    <n v="68"/>
    <x v="46"/>
    <x v="2"/>
    <x v="8"/>
    <x v="1"/>
    <n v="308"/>
    <n v="27956"/>
    <s v="Null"/>
    <n v="39"/>
    <n v="49"/>
    <x v="1"/>
    <x v="2"/>
    <n v="90.766233766233768"/>
  </r>
  <r>
    <n v="71"/>
    <x v="46"/>
    <x v="0"/>
    <x v="8"/>
    <x v="3"/>
    <n v="95"/>
    <n v="46800"/>
    <s v="Male"/>
    <n v="28"/>
    <n v="49"/>
    <x v="1"/>
    <x v="2"/>
    <n v="492.63157894736844"/>
  </r>
  <r>
    <n v="6"/>
    <x v="46"/>
    <x v="1"/>
    <x v="0"/>
    <x v="2"/>
    <n v="401"/>
    <n v="19691"/>
    <s v="Male"/>
    <n v="37"/>
    <n v="26"/>
    <x v="0"/>
    <x v="0"/>
    <n v="49.104738154613464"/>
  </r>
  <r>
    <n v="49"/>
    <x v="46"/>
    <x v="2"/>
    <x v="0"/>
    <x v="2"/>
    <n v="74"/>
    <n v="36708"/>
    <s v="Male"/>
    <n v="32"/>
    <n v="26"/>
    <x v="0"/>
    <x v="0"/>
    <n v="496.05405405405406"/>
  </r>
  <r>
    <n v="62"/>
    <x v="46"/>
    <x v="1"/>
    <x v="5"/>
    <x v="2"/>
    <n v="535"/>
    <n v="44330"/>
    <s v="Male"/>
    <n v="32"/>
    <n v="57"/>
    <x v="1"/>
    <x v="2"/>
    <n v="82.859813084112147"/>
  </r>
  <r>
    <n v="80"/>
    <x v="46"/>
    <x v="2"/>
    <x v="5"/>
    <x v="2"/>
    <n v="380"/>
    <n v="44525"/>
    <s v="Null"/>
    <n v="35"/>
    <n v="57"/>
    <x v="1"/>
    <x v="2"/>
    <n v="117.17105263157895"/>
  </r>
  <r>
    <n v="52"/>
    <x v="46"/>
    <x v="2"/>
    <x v="1"/>
    <x v="2"/>
    <n v="343"/>
    <n v="33344"/>
    <s v="Male"/>
    <n v="28"/>
    <n v="42"/>
    <x v="0"/>
    <x v="1"/>
    <n v="97.212827988338191"/>
  </r>
  <r>
    <n v="105"/>
    <x v="46"/>
    <x v="0"/>
    <x v="1"/>
    <x v="2"/>
    <n v="318"/>
    <n v="16864"/>
    <s v="Male"/>
    <n v="28"/>
    <n v="42"/>
    <x v="0"/>
    <x v="1"/>
    <n v="53.031446540880502"/>
  </r>
  <r>
    <n v="72"/>
    <x v="47"/>
    <x v="0"/>
    <x v="1"/>
    <x v="3"/>
    <n v="218"/>
    <n v="7125"/>
    <s v="Male"/>
    <n v="29"/>
    <n v="42"/>
    <x v="0"/>
    <x v="1"/>
    <n v="32.683486238532112"/>
  </r>
  <r>
    <n v="75"/>
    <x v="48"/>
    <x v="1"/>
    <x v="7"/>
    <x v="1"/>
    <n v="128"/>
    <n v="679"/>
    <s v="Male"/>
    <n v="27"/>
    <n v="28"/>
    <x v="1"/>
    <x v="0"/>
    <n v="5.3046875"/>
  </r>
  <r>
    <n v="120"/>
    <x v="49"/>
    <x v="3"/>
    <x v="9"/>
    <x v="1"/>
    <n v="497"/>
    <n v="46548"/>
    <s v="Female"/>
    <n v="36"/>
    <n v="36"/>
    <x v="0"/>
    <x v="1"/>
    <n v="93.6579476861167"/>
  </r>
  <r>
    <n v="51"/>
    <x v="50"/>
    <x v="2"/>
    <x v="5"/>
    <x v="2"/>
    <n v="358"/>
    <n v="13568"/>
    <s v="Female"/>
    <n v="35"/>
    <n v="57"/>
    <x v="1"/>
    <x v="2"/>
    <n v="37.899441340782126"/>
  </r>
  <r>
    <n v="84"/>
    <x v="51"/>
    <x v="1"/>
    <x v="4"/>
    <x v="0"/>
    <n v="84"/>
    <n v="10688"/>
    <s v="Female"/>
    <n v="27"/>
    <n v="28"/>
    <x v="1"/>
    <x v="0"/>
    <n v="127.23809523809524"/>
  </r>
  <r>
    <n v="113"/>
    <x v="52"/>
    <x v="3"/>
    <x v="0"/>
    <x v="1"/>
    <n v="81"/>
    <n v="31414"/>
    <s v="Female"/>
    <n v="36"/>
    <n v="26"/>
    <x v="0"/>
    <x v="0"/>
    <n v="387.82716049382714"/>
  </r>
  <r>
    <n v="32"/>
    <x v="53"/>
    <x v="3"/>
    <x v="1"/>
    <x v="1"/>
    <n v="389"/>
    <n v="37744"/>
    <s v="Male"/>
    <n v="27"/>
    <n v="42"/>
    <x v="0"/>
    <x v="1"/>
    <n v="97.028277634961441"/>
  </r>
  <r>
    <n v="60"/>
    <x v="54"/>
    <x v="0"/>
    <x v="6"/>
    <x v="2"/>
    <n v="178"/>
    <n v="679"/>
    <s v="Male"/>
    <n v="28"/>
    <n v="25"/>
    <x v="1"/>
    <x v="0"/>
    <n v="3.8146067415730336"/>
  </r>
  <r>
    <n v="117"/>
    <x v="55"/>
    <x v="0"/>
    <x v="0"/>
    <x v="0"/>
    <n v="527"/>
    <n v="51168"/>
    <s v="Male"/>
    <n v="39"/>
    <n v="26"/>
    <x v="0"/>
    <x v="0"/>
    <n v="97.092979127134726"/>
  </r>
  <r>
    <n v="37"/>
    <x v="56"/>
    <x v="0"/>
    <x v="8"/>
    <x v="1"/>
    <n v="145"/>
    <n v="43615"/>
    <s v="Male"/>
    <n v="39"/>
    <n v="49"/>
    <x v="1"/>
    <x v="2"/>
    <n v="300.79310344827587"/>
  </r>
  <r>
    <n v="65"/>
    <x v="57"/>
    <x v="3"/>
    <x v="1"/>
    <x v="1"/>
    <n v="495"/>
    <n v="679"/>
    <s v="Male"/>
    <n v="38"/>
    <n v="42"/>
    <x v="0"/>
    <x v="1"/>
    <n v="1.3717171717171717"/>
  </r>
  <r>
    <n v="1"/>
    <x v="58"/>
    <x v="2"/>
    <x v="6"/>
    <x v="1"/>
    <n v="412"/>
    <n v="22288"/>
    <s v="Female"/>
    <n v="27"/>
    <n v="25"/>
    <x v="1"/>
    <x v="0"/>
    <n v="54.097087378640779"/>
  </r>
  <r>
    <n v="18"/>
    <x v="59"/>
    <x v="1"/>
    <x v="8"/>
    <x v="1"/>
    <n v="363"/>
    <n v="38232"/>
    <s v="Female"/>
    <n v="27"/>
    <n v="49"/>
    <x v="1"/>
    <x v="2"/>
    <n v="105.32231404958678"/>
  </r>
  <r>
    <n v="110"/>
    <x v="60"/>
    <x v="1"/>
    <x v="2"/>
    <x v="2"/>
    <n v="155"/>
    <n v="11092"/>
    <s v="Female"/>
    <n v="32"/>
    <n v="52"/>
    <x v="0"/>
    <x v="2"/>
    <n v="71.561290322580646"/>
  </r>
  <r>
    <n v="66"/>
    <x v="61"/>
    <x v="1"/>
    <x v="4"/>
    <x v="0"/>
    <n v="190"/>
    <n v="28050"/>
    <s v="Female"/>
    <n v="31"/>
    <n v="28"/>
    <x v="1"/>
    <x v="0"/>
    <n v="147.63157894736841"/>
  </r>
  <r>
    <n v="106"/>
    <x v="62"/>
    <x v="2"/>
    <x v="1"/>
    <x v="1"/>
    <n v="51"/>
    <n v="56888"/>
    <s v="Female"/>
    <n v="31"/>
    <n v="42"/>
    <x v="0"/>
    <x v="1"/>
    <n v="1115.4509803921569"/>
  </r>
  <r>
    <n v="15"/>
    <x v="63"/>
    <x v="0"/>
    <x v="1"/>
    <x v="1"/>
    <n v="383"/>
    <n v="39008"/>
    <s v="Null"/>
    <n v="28"/>
    <n v="42"/>
    <x v="0"/>
    <x v="1"/>
    <n v="101.8485639686684"/>
  </r>
  <r>
    <n v="41"/>
    <x v="64"/>
    <x v="1"/>
    <x v="1"/>
    <x v="3"/>
    <n v="51"/>
    <n v="35280"/>
    <s v="Male"/>
    <n v="28"/>
    <n v="42"/>
    <x v="0"/>
    <x v="1"/>
    <n v="691.76470588235293"/>
  </r>
  <r>
    <n v="12"/>
    <x v="65"/>
    <x v="1"/>
    <x v="3"/>
    <x v="1"/>
    <n v="462"/>
    <n v="26145"/>
    <s v="Null"/>
    <n v="33"/>
    <n v="25"/>
    <x v="0"/>
    <x v="0"/>
    <n v="56.590909090909093"/>
  </r>
  <r>
    <n v="107"/>
    <x v="66"/>
    <x v="3"/>
    <x v="4"/>
    <x v="2"/>
    <n v="236"/>
    <n v="679"/>
    <s v="Null"/>
    <n v="36"/>
    <n v="28"/>
    <x v="1"/>
    <x v="0"/>
    <n v="2.8771186440677967"/>
  </r>
  <r>
    <n v="2"/>
    <x v="67"/>
    <x v="1"/>
    <x v="2"/>
    <x v="3"/>
    <n v="430"/>
    <n v="66500"/>
    <s v="Female"/>
    <n v="37"/>
    <n v="52"/>
    <x v="0"/>
    <x v="2"/>
    <n v="154.65116279069767"/>
  </r>
  <r>
    <n v="33"/>
    <x v="68"/>
    <x v="3"/>
    <x v="3"/>
    <x v="0"/>
    <n v="511"/>
    <n v="679"/>
    <s v="Female"/>
    <n v="36"/>
    <n v="25"/>
    <x v="0"/>
    <x v="0"/>
    <n v="1.3287671232876712"/>
  </r>
  <r>
    <n v="42"/>
    <x v="69"/>
    <x v="0"/>
    <x v="1"/>
    <x v="1"/>
    <n v="382"/>
    <n v="37490"/>
    <s v="Male"/>
    <n v="38"/>
    <n v="42"/>
    <x v="0"/>
    <x v="1"/>
    <n v="98.141361256544499"/>
  </r>
  <r>
    <n v="94"/>
    <x v="70"/>
    <x v="0"/>
    <x v="3"/>
    <x v="1"/>
    <n v="173"/>
    <n v="24549"/>
    <s v="Male"/>
    <n v="37"/>
    <n v="25"/>
    <x v="0"/>
    <x v="0"/>
    <n v="141.90173410404626"/>
  </r>
  <r>
    <n v="64"/>
    <x v="71"/>
    <x v="1"/>
    <x v="6"/>
    <x v="0"/>
    <n v="188"/>
    <n v="679"/>
    <s v="Female"/>
    <n v="28"/>
    <n v="25"/>
    <x v="1"/>
    <x v="0"/>
    <n v="3.6117021276595747"/>
  </r>
  <r>
    <n v="91"/>
    <x v="72"/>
    <x v="0"/>
    <x v="1"/>
    <x v="2"/>
    <n v="386"/>
    <n v="47952"/>
    <s v="Male"/>
    <n v="39"/>
    <n v="42"/>
    <x v="0"/>
    <x v="1"/>
    <n v="124.2279792746114"/>
  </r>
  <r>
    <n v="5"/>
    <x v="73"/>
    <x v="2"/>
    <x v="0"/>
    <x v="2"/>
    <n v="178"/>
    <n v="41349"/>
    <s v="Male"/>
    <n v="38"/>
    <n v="26"/>
    <x v="0"/>
    <x v="0"/>
    <n v="232.29775280898878"/>
  </r>
  <r>
    <n v="44"/>
    <x v="74"/>
    <x v="3"/>
    <x v="2"/>
    <x v="3"/>
    <n v="368"/>
    <n v="46068"/>
    <s v="Female"/>
    <n v="27"/>
    <n v="52"/>
    <x v="0"/>
    <x v="2"/>
    <n v="125.18478260869566"/>
  </r>
  <r>
    <n v="59"/>
    <x v="75"/>
    <x v="0"/>
    <x v="6"/>
    <x v="0"/>
    <n v="322"/>
    <n v="29440"/>
    <s v="Male"/>
    <n v="38"/>
    <n v="25"/>
    <x v="1"/>
    <x v="0"/>
    <n v="91.428571428571431"/>
  </r>
  <r>
    <n v="82"/>
    <x v="76"/>
    <x v="3"/>
    <x v="6"/>
    <x v="3"/>
    <n v="130"/>
    <n v="16740"/>
    <s v="Female"/>
    <n v="34"/>
    <n v="25"/>
    <x v="1"/>
    <x v="0"/>
    <n v="128.76923076923077"/>
  </r>
  <r>
    <n v="45"/>
    <x v="77"/>
    <x v="1"/>
    <x v="9"/>
    <x v="0"/>
    <n v="79"/>
    <n v="11078"/>
    <s v="Female"/>
    <n v="27"/>
    <n v="36"/>
    <x v="0"/>
    <x v="1"/>
    <n v="140.22784810126583"/>
  </r>
  <r>
    <n v="99"/>
    <x v="78"/>
    <x v="1"/>
    <x v="1"/>
    <x v="0"/>
    <n v="216"/>
    <n v="36934"/>
    <s v="Female"/>
    <n v="26"/>
    <n v="42"/>
    <x v="0"/>
    <x v="1"/>
    <n v="170.99074074074073"/>
  </r>
  <r>
    <n v="14"/>
    <x v="79"/>
    <x v="2"/>
    <x v="0"/>
    <x v="1"/>
    <n v="332"/>
    <n v="679"/>
    <s v="Female"/>
    <n v="27"/>
    <n v="26"/>
    <x v="0"/>
    <x v="0"/>
    <n v="2.0451807228915664"/>
  </r>
  <r>
    <n v="38"/>
    <x v="80"/>
    <x v="1"/>
    <x v="1"/>
    <x v="0"/>
    <n v="115"/>
    <n v="14076"/>
    <s v="Female"/>
    <n v="26"/>
    <n v="42"/>
    <x v="0"/>
    <x v="1"/>
    <n v="122.4"/>
  </r>
  <r>
    <n v="19"/>
    <x v="81"/>
    <x v="1"/>
    <x v="8"/>
    <x v="1"/>
    <n v="443"/>
    <n v="50652"/>
    <s v="Male"/>
    <n v="29"/>
    <n v="49"/>
    <x v="1"/>
    <x v="2"/>
    <n v="114.33860045146727"/>
  </r>
  <r>
    <n v="78"/>
    <x v="81"/>
    <x v="2"/>
    <x v="0"/>
    <x v="1"/>
    <n v="465"/>
    <n v="679"/>
    <s v="Female"/>
    <n v="27"/>
    <n v="26"/>
    <x v="0"/>
    <x v="0"/>
    <n v="1.4602150537634409"/>
  </r>
  <r>
    <n v="7"/>
    <x v="82"/>
    <x v="1"/>
    <x v="4"/>
    <x v="2"/>
    <n v="68"/>
    <n v="11696"/>
    <s v="Male"/>
    <n v="33"/>
    <n v="28"/>
    <x v="1"/>
    <x v="0"/>
    <n v="172"/>
  </r>
  <r>
    <n v="13"/>
    <x v="82"/>
    <x v="0"/>
    <x v="6"/>
    <x v="0"/>
    <n v="435"/>
    <n v="64090"/>
    <s v="Female"/>
    <n v="32"/>
    <n v="25"/>
    <x v="1"/>
    <x v="0"/>
    <n v="147.33333333333334"/>
  </r>
  <r>
    <n v="77"/>
    <x v="83"/>
    <x v="1"/>
    <x v="1"/>
    <x v="3"/>
    <n v="115"/>
    <n v="34804"/>
    <s v="Female"/>
    <n v="36"/>
    <n v="42"/>
    <x v="0"/>
    <x v="1"/>
    <n v="302.64347826086959"/>
  </r>
  <r>
    <n v="39"/>
    <x v="84"/>
    <x v="0"/>
    <x v="9"/>
    <x v="1"/>
    <n v="248"/>
    <n v="12870"/>
    <s v="Female"/>
    <n v="33"/>
    <n v="36"/>
    <x v="0"/>
    <x v="1"/>
    <n v="51.895161290322584"/>
  </r>
  <r>
    <n v="102"/>
    <x v="85"/>
    <x v="3"/>
    <x v="0"/>
    <x v="1"/>
    <n v="376"/>
    <n v="679"/>
    <s v="Female"/>
    <n v="38"/>
    <n v="26"/>
    <x v="0"/>
    <x v="0"/>
    <n v="1.8058510638297873"/>
  </r>
  <r>
    <n v="111"/>
    <x v="85"/>
    <x v="0"/>
    <x v="0"/>
    <x v="0"/>
    <n v="319"/>
    <n v="4221"/>
    <s v="Male"/>
    <n v="33"/>
    <n v="26"/>
    <x v="0"/>
    <x v="0"/>
    <n v="13.231974921630094"/>
  </r>
  <r>
    <n v="3"/>
    <x v="86"/>
    <x v="0"/>
    <x v="9"/>
    <x v="2"/>
    <n v="478"/>
    <n v="76076"/>
    <s v="Male"/>
    <n v="34"/>
    <n v="36"/>
    <x v="0"/>
    <x v="1"/>
    <n v="159.15481171548117"/>
  </r>
  <r>
    <n v="73"/>
    <x v="87"/>
    <x v="1"/>
    <x v="1"/>
    <x v="2"/>
    <n v="265"/>
    <n v="12320"/>
    <s v="Female"/>
    <n v="38"/>
    <n v="42"/>
    <x v="0"/>
    <x v="1"/>
    <n v="46.490566037735846"/>
  </r>
  <r>
    <n v="10"/>
    <x v="88"/>
    <x v="1"/>
    <x v="1"/>
    <x v="1"/>
    <n v="396"/>
    <n v="38480"/>
    <s v="Female"/>
    <n v="35"/>
    <n v="42"/>
    <x v="0"/>
    <x v="1"/>
    <n v="97.171717171717177"/>
  </r>
  <r>
    <n v="54"/>
    <x v="89"/>
    <x v="1"/>
    <x v="7"/>
    <x v="1"/>
    <n v="429"/>
    <n v="58208"/>
    <s v="Male"/>
    <n v="32"/>
    <n v="28"/>
    <x v="1"/>
    <x v="0"/>
    <n v="135.68298368298369"/>
  </r>
  <r>
    <n v="63"/>
    <x v="89"/>
    <x v="3"/>
    <x v="6"/>
    <x v="1"/>
    <n v="305"/>
    <n v="3186"/>
    <s v="Female"/>
    <n v="38"/>
    <n v="25"/>
    <x v="1"/>
    <x v="0"/>
    <n v="10.445901639344262"/>
  </r>
  <r>
    <n v="27"/>
    <x v="90"/>
    <x v="1"/>
    <x v="1"/>
    <x v="0"/>
    <n v="422"/>
    <n v="13490"/>
    <s v="Female"/>
    <n v="31"/>
    <n v="42"/>
    <x v="0"/>
    <x v="1"/>
    <n v="31.966824644549764"/>
  </r>
  <r>
    <n v="23"/>
    <x v="91"/>
    <x v="0"/>
    <x v="4"/>
    <x v="1"/>
    <n v="90"/>
    <n v="42328"/>
    <s v="Female"/>
    <n v="28"/>
    <n v="28"/>
    <x v="1"/>
    <x v="0"/>
    <n v="470.31111111111113"/>
  </r>
  <r>
    <n v="95"/>
    <x v="92"/>
    <x v="0"/>
    <x v="1"/>
    <x v="3"/>
    <n v="306"/>
    <n v="679"/>
    <s v="Female"/>
    <n v="27"/>
    <n v="42"/>
    <x v="0"/>
    <x v="1"/>
    <n v="2.2189542483660132"/>
  </r>
  <r>
    <n v="112"/>
    <x v="93"/>
    <x v="3"/>
    <x v="3"/>
    <x v="1"/>
    <n v="62"/>
    <n v="31500"/>
    <s v="Male"/>
    <n v="38"/>
    <n v="25"/>
    <x v="0"/>
    <x v="0"/>
    <n v="508.06451612903226"/>
  </r>
  <r>
    <n v="26"/>
    <x v="94"/>
    <x v="1"/>
    <x v="1"/>
    <x v="1"/>
    <n v="406"/>
    <n v="47880"/>
    <s v="Male"/>
    <n v="31"/>
    <n v="42"/>
    <x v="0"/>
    <x v="1"/>
    <n v="117.93103448275862"/>
  </r>
  <r>
    <n v="69"/>
    <x v="95"/>
    <x v="3"/>
    <x v="9"/>
    <x v="3"/>
    <n v="183"/>
    <n v="679"/>
    <s v="Male"/>
    <n v="29"/>
    <n v="36"/>
    <x v="0"/>
    <x v="1"/>
    <n v="3.7103825136612021"/>
  </r>
  <r>
    <n v="31"/>
    <x v="96"/>
    <x v="0"/>
    <x v="1"/>
    <x v="0"/>
    <n v="369"/>
    <n v="5246"/>
    <s v="Male"/>
    <n v="34"/>
    <n v="42"/>
    <x v="0"/>
    <x v="1"/>
    <n v="14.21680216802168"/>
  </r>
  <r>
    <n v="79"/>
    <x v="97"/>
    <x v="3"/>
    <x v="1"/>
    <x v="2"/>
    <n v="519"/>
    <n v="45312"/>
    <s v="Male"/>
    <n v="26"/>
    <n v="42"/>
    <x v="0"/>
    <x v="1"/>
    <n v="87.306358381502889"/>
  </r>
  <r>
    <n v="55"/>
    <x v="98"/>
    <x v="2"/>
    <x v="1"/>
    <x v="3"/>
    <n v="491"/>
    <n v="59458"/>
    <s v="Male"/>
    <n v="39"/>
    <n v="42"/>
    <x v="0"/>
    <x v="1"/>
    <n v="121.095723014256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E23AF-ABC2-4424-9787-F2B3CFBFA92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6">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h="1" x="3"/>
        <item h="1" x="0"/>
        <item x="2"/>
        <item h="1" x="1"/>
        <item t="default"/>
      </items>
    </pivotField>
    <pivotField showAll="0"/>
    <pivotField axis="axisRow" showAll="0">
      <items count="5">
        <item x="1"/>
        <item x="0"/>
        <item x="3"/>
        <item x="2"/>
        <item t="default"/>
      </items>
    </pivotField>
    <pivotField showAll="0"/>
    <pivotField dataField="1" showAll="0"/>
    <pivotField showAll="0"/>
    <pivotField showAll="0"/>
    <pivotField showAll="0"/>
    <pivotField showAll="0">
      <items count="3">
        <item h="1" x="0"/>
        <item x="1"/>
        <item t="default"/>
      </items>
    </pivotField>
    <pivotField showAll="0">
      <items count="4">
        <item x="0"/>
        <item x="1"/>
        <item x="2"/>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2"/>
    </i>
    <i>
      <x v="3"/>
    </i>
    <i t="grand">
      <x/>
    </i>
  </rowItems>
  <colItems count="1">
    <i/>
  </colItems>
  <dataFields count="1">
    <dataField name="Sum of TotalCost" fld="6"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64DDB-CE25-4BF2-9105-C29D17924C9F}"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6">
    <pivotField dataField="1"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h="1" x="3"/>
        <item h="1" x="0"/>
        <item x="2"/>
        <item h="1" x="1"/>
        <item t="default"/>
      </items>
    </pivotField>
    <pivotField axis="axisRow" showAll="0" sortType="descending">
      <items count="11">
        <item x="9"/>
        <item x="1"/>
        <item x="5"/>
        <item x="2"/>
        <item x="6"/>
        <item x="0"/>
        <item x="3"/>
        <item x="7"/>
        <item x="8"/>
        <item x="4"/>
        <item t="default"/>
      </items>
    </pivotField>
    <pivotField showAll="0"/>
    <pivotField showAll="0"/>
    <pivotField showAll="0"/>
    <pivotField showAll="0"/>
    <pivotField showAll="0"/>
    <pivotField showAll="0"/>
    <pivotField showAll="0">
      <items count="3">
        <item h="1" x="0"/>
        <item x="1"/>
        <item t="default"/>
      </items>
    </pivotField>
    <pivotField showAll="0">
      <items count="4">
        <item x="0"/>
        <item x="1"/>
        <item x="2"/>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2"/>
    </i>
    <i>
      <x v="4"/>
    </i>
    <i>
      <x v="7"/>
    </i>
    <i>
      <x v="8"/>
    </i>
    <i>
      <x v="9"/>
    </i>
    <i t="grand">
      <x/>
    </i>
  </rowItems>
  <colItems count="1">
    <i/>
  </colItems>
  <dataFields count="1">
    <dataField name="Count of ProductionID" fld="0" subtotal="count" baseField="0" baseItem="0"/>
  </dataFields>
  <chartFormats count="2">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40AF23-D701-4C56-B0A9-443010270091}"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1" firstHeaderRow="1" firstDataRow="1" firstDataCol="1"/>
  <pivotFields count="16">
    <pivotField showAll="0"/>
    <pivotField axis="axisRow"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h="1" x="3"/>
        <item h="1" x="0"/>
        <item x="2"/>
        <item h="1" x="1"/>
        <item t="default"/>
      </items>
    </pivotField>
    <pivotField showAll="0"/>
    <pivotField showAll="0"/>
    <pivotField dataField="1" showAll="0"/>
    <pivotField showAll="0"/>
    <pivotField showAll="0"/>
    <pivotField showAll="0"/>
    <pivotField showAll="0"/>
    <pivotField showAll="0">
      <items count="3">
        <item h="1" x="0"/>
        <item x="1"/>
        <item t="default"/>
      </items>
    </pivotField>
    <pivotField showAll="0">
      <items count="4">
        <item x="0"/>
        <item x="1"/>
        <item x="2"/>
        <item t="default"/>
      </items>
    </pivotField>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5"/>
    <field x="13"/>
    <field x="1"/>
  </rowFields>
  <rowItems count="8">
    <i>
      <x v="1"/>
    </i>
    <i r="1">
      <x v="10"/>
    </i>
    <i r="1">
      <x v="12"/>
    </i>
    <i>
      <x v="2"/>
    </i>
    <i r="1">
      <x v="1"/>
    </i>
    <i r="1">
      <x v="2"/>
    </i>
    <i r="1">
      <x v="3"/>
    </i>
    <i t="grand">
      <x/>
    </i>
  </rowItems>
  <colItems count="1">
    <i/>
  </colItems>
  <dataFields count="1">
    <dataField name="Sum of UnitsProduced" fld="5" baseField="0" baseItem="0"/>
  </dataField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436681-891F-4127-B441-3F359BB6A572}"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6">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h="1" x="3"/>
        <item h="1" x="0"/>
        <item x="2"/>
        <item h="1" x="1"/>
        <item t="default"/>
      </items>
    </pivotField>
    <pivotField showAll="0"/>
    <pivotField axis="axisRow" showAll="0">
      <items count="5">
        <item x="1"/>
        <item x="0"/>
        <item x="3"/>
        <item x="2"/>
        <item t="default"/>
      </items>
    </pivotField>
    <pivotField showAll="0"/>
    <pivotField showAll="0"/>
    <pivotField showAll="0"/>
    <pivotField showAll="0"/>
    <pivotField showAll="0"/>
    <pivotField showAll="0">
      <items count="3">
        <item h="1" x="0"/>
        <item x="1"/>
        <item t="default"/>
      </items>
    </pivotField>
    <pivotField showAll="0">
      <items count="4">
        <item x="0"/>
        <item x="1"/>
        <item x="2"/>
        <item t="default"/>
      </items>
    </pivotField>
    <pivotField dataField="1" numFmtId="2" showAll="0"/>
    <pivotField showAll="0" defaultSubtotal="0"/>
    <pivotField showAll="0" defaultSubtotal="0"/>
    <pivotField showAll="0" defaultSubtotal="0">
      <items count="4">
        <item x="0"/>
        <item x="1"/>
        <item x="2"/>
        <item x="3"/>
      </items>
    </pivotField>
  </pivotFields>
  <rowFields count="1">
    <field x="4"/>
  </rowFields>
  <rowItems count="4">
    <i>
      <x/>
    </i>
    <i>
      <x v="2"/>
    </i>
    <i>
      <x v="3"/>
    </i>
    <i t="grand">
      <x/>
    </i>
  </rowItems>
  <colItems count="1">
    <i/>
  </colItems>
  <dataFields count="1">
    <dataField name="Average of Production Cost Per Unit" fld="12" subtotal="average" baseField="0" baseItem="0" numFmtId="2"/>
  </dataFields>
  <chartFormats count="10">
    <chartFormat chart="2"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4B914-B781-4233-8DAA-4A1B6DC99360}"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8:AG9" firstHeaderRow="1" firstDataRow="1" firstDataCol="0"/>
  <pivotFields count="16">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h="1" x="3"/>
        <item h="1" x="0"/>
        <item x="2"/>
        <item h="1" x="1"/>
        <item t="default"/>
      </items>
    </pivotField>
    <pivotField showAll="0"/>
    <pivotField showAll="0"/>
    <pivotField showAll="0"/>
    <pivotField dataField="1" showAll="0"/>
    <pivotField showAll="0"/>
    <pivotField showAll="0"/>
    <pivotField showAll="0"/>
    <pivotField showAll="0">
      <items count="3">
        <item h="1" x="0"/>
        <item x="1"/>
        <item t="default"/>
      </items>
    </pivotField>
    <pivotField showAll="0">
      <items count="4">
        <item x="0"/>
        <item x="1"/>
        <item x="2"/>
        <item t="default"/>
      </items>
    </pivotField>
    <pivotField numFmtId="2"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Cos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4F09FF-F82E-41CC-B3C2-A731C13ED221}"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h="1" x="3"/>
        <item h="1" x="0"/>
        <item x="2"/>
        <item h="1" x="1"/>
        <item t="default"/>
      </items>
    </pivotField>
    <pivotField showAll="0"/>
    <pivotField showAll="0"/>
    <pivotField showAll="0"/>
    <pivotField dataField="1" showAll="0"/>
    <pivotField showAll="0"/>
    <pivotField showAll="0"/>
    <pivotField showAll="0"/>
    <pivotField showAll="0">
      <items count="3">
        <item h="1" x="0"/>
        <item x="1"/>
        <item t="default"/>
      </items>
    </pivotField>
    <pivotField showAll="0">
      <items count="4">
        <item x="0"/>
        <item x="1"/>
        <item x="2"/>
        <item t="default"/>
      </items>
    </pivotField>
    <pivotField numFmtId="2"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Cos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Gender" xr10:uid="{9A29B341-1BAB-44DB-BFE4-85D3FE14A696}" sourceName="Cleaned Gender">
  <pivotTables>
    <pivotTable tabId="15" name="PivotTable7"/>
    <pivotTable tabId="16" name="PivotTable8"/>
    <pivotTable tabId="17" name="PivotTable9"/>
    <pivotTable tabId="18" name="PivotTable10"/>
    <pivotTable tabId="19" name="PivotTable12"/>
    <pivotTable tabId="20" name="PivotTable11"/>
  </pivotTables>
  <data>
    <tabular pivotCacheId="7097721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1773B7-34FE-491C-B79D-6309CBF70416}" sourceName="Region">
  <pivotTables>
    <pivotTable tabId="15" name="PivotTable7"/>
    <pivotTable tabId="16" name="PivotTable8"/>
    <pivotTable tabId="17" name="PivotTable9"/>
    <pivotTable tabId="18" name="PivotTable10"/>
    <pivotTable tabId="19" name="PivotTable12"/>
    <pivotTable tabId="20" name="PivotTable11"/>
  </pivotTables>
  <data>
    <tabular pivotCacheId="70977216">
      <items count="4">
        <i x="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C708791-87D2-4657-9831-DBBEB5D75561}" sourceName="Age Group">
  <pivotTables>
    <pivotTable tabId="15" name="PivotTable7"/>
    <pivotTable tabId="16" name="PivotTable8"/>
    <pivotTable tabId="17" name="PivotTable9"/>
    <pivotTable tabId="18" name="PivotTable10"/>
    <pivotTable tabId="19" name="PivotTable12"/>
    <pivotTable tabId="20" name="PivotTable11"/>
  </pivotTables>
  <data>
    <tabular pivotCacheId="70977216">
      <items count="3">
        <i x="0" s="1"/>
        <i x="2"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ed Gender" xr10:uid="{279DA0BC-902D-4A63-B1D8-611B5926AC40}" cache="Slicer_Cleaned_Gender" caption="Cleaned Gender" rowHeight="234950"/>
  <slicer name="Region" xr10:uid="{B43358D8-CC74-4F50-BBC4-085E5FD21783}" cache="Slicer_Region" caption="Region" rowHeight="234950"/>
  <slicer name="Age Group" xr10:uid="{23A63023-4208-4F0D-99EB-2145B972535C}" cache="Slicer_Age_Group" caption="Age Group" rowHeight="23495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F19" sqref="F19"/>
    </sheetView>
  </sheetViews>
  <sheetFormatPr defaultRowHeight="14.4" x14ac:dyDescent="0.3"/>
  <sheetData>
    <row r="1" spans="1:1" x14ac:dyDescent="0.3">
      <c r="A1" s="1" t="s">
        <v>0</v>
      </c>
    </row>
    <row r="2" spans="1:1" x14ac:dyDescent="0.3">
      <c r="A2" t="s">
        <v>39</v>
      </c>
    </row>
    <row r="3" spans="1:1" x14ac:dyDescent="0.3">
      <c r="A3" t="s">
        <v>40</v>
      </c>
    </row>
    <row r="4" spans="1:1" x14ac:dyDescent="0.3">
      <c r="A4" t="s">
        <v>1</v>
      </c>
    </row>
    <row r="5" spans="1:1" x14ac:dyDescent="0.3">
      <c r="A5" t="s">
        <v>2</v>
      </c>
    </row>
    <row r="6" spans="1:1" x14ac:dyDescent="0.3">
      <c r="A6" t="s">
        <v>3</v>
      </c>
    </row>
    <row r="7" spans="1:1" x14ac:dyDescent="0.3">
      <c r="A7" t="s">
        <v>4</v>
      </c>
    </row>
    <row r="8" spans="1:1" x14ac:dyDescent="0.3">
      <c r="A8" t="s">
        <v>5</v>
      </c>
    </row>
    <row r="9" spans="1:1" x14ac:dyDescent="0.3">
      <c r="A9" t="s">
        <v>6</v>
      </c>
    </row>
    <row r="10" spans="1:1" x14ac:dyDescent="0.3">
      <c r="A10" t="s">
        <v>7</v>
      </c>
    </row>
    <row r="11" spans="1:1" x14ac:dyDescent="0.3">
      <c r="A1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3CCA1-DE71-4C65-9278-06DF4D30BB36}">
  <dimension ref="A3:B7"/>
  <sheetViews>
    <sheetView workbookViewId="0">
      <selection activeCell="L10" sqref="L10"/>
    </sheetView>
  </sheetViews>
  <sheetFormatPr defaultRowHeight="14.4" x14ac:dyDescent="0.3"/>
  <cols>
    <col min="1" max="1" width="12.5546875" bestFit="1" customWidth="1"/>
    <col min="2" max="2" width="15.44140625" bestFit="1" customWidth="1"/>
  </cols>
  <sheetData>
    <row r="3" spans="1:2" x14ac:dyDescent="0.3">
      <c r="A3" s="5" t="s">
        <v>87</v>
      </c>
      <c r="B3" t="s">
        <v>90</v>
      </c>
    </row>
    <row r="4" spans="1:2" x14ac:dyDescent="0.3">
      <c r="A4" s="6" t="s">
        <v>23</v>
      </c>
      <c r="B4" s="10">
        <v>60197</v>
      </c>
    </row>
    <row r="5" spans="1:2" x14ac:dyDescent="0.3">
      <c r="A5" s="6" t="s">
        <v>33</v>
      </c>
      <c r="B5" s="10">
        <v>40565</v>
      </c>
    </row>
    <row r="6" spans="1:2" x14ac:dyDescent="0.3">
      <c r="A6" s="6" t="s">
        <v>28</v>
      </c>
      <c r="B6" s="10">
        <v>105950</v>
      </c>
    </row>
    <row r="7" spans="1:2" x14ac:dyDescent="0.3">
      <c r="A7" s="6" t="s">
        <v>88</v>
      </c>
      <c r="B7" s="10">
        <v>206712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B074-C449-4B7E-8EF0-C4F106C61A38}">
  <dimension ref="A3:B9"/>
  <sheetViews>
    <sheetView workbookViewId="0">
      <selection activeCell="N9" sqref="N9"/>
    </sheetView>
  </sheetViews>
  <sheetFormatPr defaultRowHeight="14.4" x14ac:dyDescent="0.3"/>
  <cols>
    <col min="1" max="1" width="12.5546875" bestFit="1" customWidth="1"/>
    <col min="2" max="2" width="20.109375" bestFit="1" customWidth="1"/>
  </cols>
  <sheetData>
    <row r="3" spans="1:2" x14ac:dyDescent="0.3">
      <c r="A3" s="5" t="s">
        <v>87</v>
      </c>
      <c r="B3" t="s">
        <v>91</v>
      </c>
    </row>
    <row r="4" spans="1:2" x14ac:dyDescent="0.3">
      <c r="A4" s="6" t="s">
        <v>30</v>
      </c>
      <c r="B4" s="10">
        <v>3</v>
      </c>
    </row>
    <row r="5" spans="1:2" x14ac:dyDescent="0.3">
      <c r="A5" s="6" t="s">
        <v>32</v>
      </c>
      <c r="B5" s="10">
        <v>3</v>
      </c>
    </row>
    <row r="6" spans="1:2" x14ac:dyDescent="0.3">
      <c r="A6" s="6" t="s">
        <v>35</v>
      </c>
      <c r="B6" s="10">
        <v>1</v>
      </c>
    </row>
    <row r="7" spans="1:2" x14ac:dyDescent="0.3">
      <c r="A7" s="6" t="s">
        <v>36</v>
      </c>
      <c r="B7" s="10">
        <v>1</v>
      </c>
    </row>
    <row r="8" spans="1:2" x14ac:dyDescent="0.3">
      <c r="A8" s="6" t="s">
        <v>27</v>
      </c>
      <c r="B8" s="10">
        <v>1</v>
      </c>
    </row>
    <row r="9" spans="1:2" x14ac:dyDescent="0.3">
      <c r="A9" s="6" t="s">
        <v>88</v>
      </c>
      <c r="B9" s="10">
        <v>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AD63-C8BA-4C98-BFFD-45A7ADCB4262}">
  <dimension ref="A3:B11"/>
  <sheetViews>
    <sheetView workbookViewId="0">
      <selection activeCell="M18" sqref="M18"/>
    </sheetView>
  </sheetViews>
  <sheetFormatPr defaultRowHeight="14.4" x14ac:dyDescent="0.3"/>
  <cols>
    <col min="1" max="1" width="12.5546875" bestFit="1" customWidth="1"/>
    <col min="2" max="2" width="20.109375" bestFit="1" customWidth="1"/>
  </cols>
  <sheetData>
    <row r="3" spans="1:2" x14ac:dyDescent="0.3">
      <c r="A3" s="5" t="s">
        <v>87</v>
      </c>
      <c r="B3" t="s">
        <v>92</v>
      </c>
    </row>
    <row r="4" spans="1:2" x14ac:dyDescent="0.3">
      <c r="A4" s="6" t="s">
        <v>93</v>
      </c>
      <c r="B4" s="10">
        <v>750</v>
      </c>
    </row>
    <row r="5" spans="1:2" x14ac:dyDescent="0.3">
      <c r="A5" s="8" t="s">
        <v>95</v>
      </c>
      <c r="B5" s="10">
        <v>384</v>
      </c>
    </row>
    <row r="6" spans="1:2" x14ac:dyDescent="0.3">
      <c r="A6" s="8" t="s">
        <v>96</v>
      </c>
      <c r="B6" s="10">
        <v>366</v>
      </c>
    </row>
    <row r="7" spans="1:2" x14ac:dyDescent="0.3">
      <c r="A7" s="6" t="s">
        <v>94</v>
      </c>
      <c r="B7" s="10">
        <v>2190</v>
      </c>
    </row>
    <row r="8" spans="1:2" x14ac:dyDescent="0.3">
      <c r="A8" s="8" t="s">
        <v>97</v>
      </c>
      <c r="B8" s="10">
        <v>518</v>
      </c>
    </row>
    <row r="9" spans="1:2" x14ac:dyDescent="0.3">
      <c r="A9" s="8" t="s">
        <v>98</v>
      </c>
      <c r="B9" s="10">
        <v>902</v>
      </c>
    </row>
    <row r="10" spans="1:2" x14ac:dyDescent="0.3">
      <c r="A10" s="8" t="s">
        <v>99</v>
      </c>
      <c r="B10" s="10">
        <v>770</v>
      </c>
    </row>
    <row r="11" spans="1:2" x14ac:dyDescent="0.3">
      <c r="A11" s="6" t="s">
        <v>88</v>
      </c>
      <c r="B11" s="10">
        <v>2940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3CF3-BA4D-496B-8EBF-76BDAB4B20D9}">
  <dimension ref="A3:B7"/>
  <sheetViews>
    <sheetView workbookViewId="0">
      <selection activeCell="A3" sqref="A3:B8"/>
    </sheetView>
  </sheetViews>
  <sheetFormatPr defaultRowHeight="14.4" x14ac:dyDescent="0.3"/>
  <cols>
    <col min="1" max="1" width="12.5546875" bestFit="1" customWidth="1"/>
    <col min="2" max="2" width="31.77734375" bestFit="1" customWidth="1"/>
  </cols>
  <sheetData>
    <row r="3" spans="1:2" x14ac:dyDescent="0.3">
      <c r="A3" s="5" t="s">
        <v>87</v>
      </c>
      <c r="B3" t="s">
        <v>100</v>
      </c>
    </row>
    <row r="4" spans="1:2" x14ac:dyDescent="0.3">
      <c r="A4" s="6" t="s">
        <v>23</v>
      </c>
      <c r="B4" s="7">
        <v>63.295884931027373</v>
      </c>
    </row>
    <row r="5" spans="1:2" x14ac:dyDescent="0.3">
      <c r="A5" s="6" t="s">
        <v>33</v>
      </c>
      <c r="B5" s="7">
        <v>105.63802083333333</v>
      </c>
    </row>
    <row r="6" spans="1:2" x14ac:dyDescent="0.3">
      <c r="A6" s="6" t="s">
        <v>28</v>
      </c>
      <c r="B6" s="7">
        <v>67.992345976051539</v>
      </c>
    </row>
    <row r="7" spans="1:2" x14ac:dyDescent="0.3">
      <c r="A7" s="6" t="s">
        <v>88</v>
      </c>
      <c r="B7" s="7">
        <v>70.087882717960994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DF064-AF45-465F-BE08-7BD4F0509043}">
  <dimension ref="A1:AG9"/>
  <sheetViews>
    <sheetView showGridLines="0" zoomScale="76" zoomScaleNormal="76" workbookViewId="0">
      <selection activeCell="AD5" sqref="AD5"/>
    </sheetView>
  </sheetViews>
  <sheetFormatPr defaultRowHeight="14.4" x14ac:dyDescent="0.3"/>
  <cols>
    <col min="25" max="25" width="16" bestFit="1" customWidth="1"/>
    <col min="33" max="33" width="16" bestFit="1" customWidth="1"/>
  </cols>
  <sheetData>
    <row r="1" spans="1:33" ht="14.4" customHeight="1" x14ac:dyDescent="0.3">
      <c r="A1" s="9" t="s">
        <v>101</v>
      </c>
      <c r="B1" s="9"/>
      <c r="C1" s="9"/>
      <c r="D1" s="9"/>
      <c r="E1" s="9"/>
      <c r="F1" s="9"/>
      <c r="G1" s="9"/>
      <c r="H1" s="9"/>
      <c r="I1" s="9"/>
      <c r="J1" s="9"/>
      <c r="K1" s="9"/>
      <c r="L1" s="9"/>
      <c r="M1" s="9"/>
      <c r="N1" s="9"/>
      <c r="O1" s="9"/>
      <c r="P1" s="9"/>
      <c r="Q1" s="9"/>
      <c r="R1" s="9"/>
      <c r="S1" s="9"/>
      <c r="T1" s="9"/>
      <c r="U1" s="9"/>
      <c r="V1" s="9"/>
      <c r="W1" s="9"/>
    </row>
    <row r="2" spans="1:33" ht="14.4" customHeight="1" x14ac:dyDescent="0.3">
      <c r="A2" s="9"/>
      <c r="B2" s="9"/>
      <c r="C2" s="9"/>
      <c r="D2" s="9"/>
      <c r="E2" s="9"/>
      <c r="F2" s="9"/>
      <c r="G2" s="9"/>
      <c r="H2" s="9"/>
      <c r="I2" s="9"/>
      <c r="J2" s="9"/>
      <c r="K2" s="9"/>
      <c r="L2" s="9"/>
      <c r="M2" s="9"/>
      <c r="N2" s="9"/>
      <c r="O2" s="9"/>
      <c r="P2" s="9"/>
      <c r="Q2" s="9"/>
      <c r="R2" s="9"/>
      <c r="S2" s="9"/>
      <c r="T2" s="9"/>
      <c r="U2" s="9"/>
      <c r="V2" s="9"/>
      <c r="W2" s="9"/>
    </row>
    <row r="3" spans="1:33" ht="14.4" customHeight="1" x14ac:dyDescent="0.3">
      <c r="A3" s="9"/>
      <c r="B3" s="9"/>
      <c r="C3" s="9"/>
      <c r="D3" s="9"/>
      <c r="E3" s="9"/>
      <c r="F3" s="9"/>
      <c r="G3" s="9"/>
      <c r="H3" s="9"/>
      <c r="I3" s="9"/>
      <c r="J3" s="9"/>
      <c r="K3" s="9"/>
      <c r="L3" s="9"/>
      <c r="M3" s="9"/>
      <c r="N3" s="9"/>
      <c r="O3" s="9"/>
      <c r="P3" s="9"/>
      <c r="Q3" s="9"/>
      <c r="R3" s="9"/>
      <c r="S3" s="9"/>
      <c r="T3" s="9"/>
      <c r="U3" s="9"/>
      <c r="V3" s="9"/>
      <c r="W3" s="9"/>
    </row>
    <row r="4" spans="1:33" ht="14.4" customHeight="1" x14ac:dyDescent="0.3">
      <c r="A4" s="9"/>
      <c r="B4" s="9"/>
      <c r="C4" s="9"/>
      <c r="D4" s="9"/>
      <c r="E4" s="9"/>
      <c r="F4" s="9"/>
      <c r="G4" s="9"/>
      <c r="H4" s="9"/>
      <c r="I4" s="9"/>
      <c r="J4" s="9"/>
      <c r="K4" s="9"/>
      <c r="L4" s="9"/>
      <c r="M4" s="9"/>
      <c r="N4" s="9"/>
      <c r="O4" s="9"/>
      <c r="P4" s="9"/>
      <c r="Q4" s="9"/>
      <c r="R4" s="9"/>
      <c r="S4" s="9"/>
      <c r="T4" s="9"/>
      <c r="U4" s="9"/>
      <c r="V4" s="9"/>
      <c r="W4" s="9"/>
    </row>
    <row r="5" spans="1:33" ht="14.4" customHeight="1" x14ac:dyDescent="0.3">
      <c r="A5" s="9"/>
      <c r="B5" s="9"/>
      <c r="C5" s="9"/>
      <c r="D5" s="9"/>
      <c r="E5" s="9"/>
      <c r="F5" s="9"/>
      <c r="G5" s="9"/>
      <c r="H5" s="9"/>
      <c r="I5" s="9"/>
      <c r="J5" s="9"/>
      <c r="K5" s="9"/>
      <c r="L5" s="9"/>
      <c r="M5" s="9"/>
      <c r="N5" s="9"/>
      <c r="O5" s="9"/>
      <c r="P5" s="9"/>
      <c r="Q5" s="9"/>
      <c r="R5" s="9"/>
      <c r="S5" s="9"/>
      <c r="T5" s="9"/>
      <c r="U5" s="9"/>
      <c r="V5" s="9"/>
      <c r="W5" s="9"/>
    </row>
    <row r="6" spans="1:33" x14ac:dyDescent="0.3">
      <c r="A6" s="1"/>
    </row>
    <row r="8" spans="1:33" x14ac:dyDescent="0.3">
      <c r="AG8" t="s">
        <v>90</v>
      </c>
    </row>
    <row r="9" spans="1:33" x14ac:dyDescent="0.3">
      <c r="AG9" s="10">
        <v>206712</v>
      </c>
    </row>
  </sheetData>
  <mergeCells count="1">
    <mergeCell ref="A1:W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740B-AE49-4F72-AB4A-196CBCB8379F}">
  <dimension ref="A3:A4"/>
  <sheetViews>
    <sheetView workbookViewId="0">
      <selection activeCell="A3" sqref="A3:A4"/>
    </sheetView>
  </sheetViews>
  <sheetFormatPr defaultRowHeight="14.4" x14ac:dyDescent="0.3"/>
  <cols>
    <col min="1" max="1" width="15.44140625" bestFit="1" customWidth="1"/>
  </cols>
  <sheetData>
    <row r="3" spans="1:1" x14ac:dyDescent="0.3">
      <c r="A3" t="s">
        <v>90</v>
      </c>
    </row>
    <row r="4" spans="1:1" x14ac:dyDescent="0.3">
      <c r="A4" s="10">
        <v>206712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4B11-BEED-427C-8C42-5D71AA823E1A}">
  <dimension ref="A1:M121"/>
  <sheetViews>
    <sheetView tabSelected="1" workbookViewId="0">
      <selection activeCell="E13" sqref="A1:M121"/>
    </sheetView>
  </sheetViews>
  <sheetFormatPr defaultRowHeight="14.4" x14ac:dyDescent="0.3"/>
  <cols>
    <col min="1" max="1" width="11.6640625" bestFit="1" customWidth="1"/>
    <col min="2" max="2" width="13.88671875" bestFit="1" customWidth="1"/>
    <col min="3" max="3" width="6.5546875" bestFit="1" customWidth="1"/>
    <col min="4" max="5" width="11.21875" bestFit="1" customWidth="1"/>
    <col min="6" max="6" width="12.88671875" bestFit="1" customWidth="1"/>
    <col min="8" max="8" width="6.88671875" bestFit="1" customWidth="1"/>
    <col min="9" max="9" width="4" bestFit="1" customWidth="1"/>
    <col min="10" max="10" width="11.33203125" bestFit="1" customWidth="1"/>
    <col min="11" max="11" width="14" bestFit="1" customWidth="1"/>
    <col min="13" max="13" width="21.33203125" bestFit="1" customWidth="1"/>
  </cols>
  <sheetData>
    <row r="1" spans="1:13" x14ac:dyDescent="0.3">
      <c r="A1" t="s">
        <v>8</v>
      </c>
      <c r="B1" t="s">
        <v>9</v>
      </c>
      <c r="C1" t="s">
        <v>10</v>
      </c>
      <c r="D1" t="s">
        <v>11</v>
      </c>
      <c r="E1" t="s">
        <v>12</v>
      </c>
      <c r="F1" t="s">
        <v>13</v>
      </c>
      <c r="G1" t="s">
        <v>14</v>
      </c>
      <c r="H1" t="s">
        <v>15</v>
      </c>
      <c r="I1" t="s">
        <v>16</v>
      </c>
      <c r="J1" t="s">
        <v>84</v>
      </c>
      <c r="K1" t="s">
        <v>85</v>
      </c>
      <c r="L1" t="s">
        <v>86</v>
      </c>
      <c r="M1" t="s">
        <v>89</v>
      </c>
    </row>
    <row r="2" spans="1:13" x14ac:dyDescent="0.3">
      <c r="A2">
        <v>48</v>
      </c>
      <c r="B2" s="2">
        <v>45191</v>
      </c>
      <c r="C2" t="s">
        <v>17</v>
      </c>
      <c r="D2" t="s">
        <v>18</v>
      </c>
      <c r="E2" t="s">
        <v>19</v>
      </c>
      <c r="F2">
        <v>214</v>
      </c>
      <c r="G2">
        <v>11954</v>
      </c>
      <c r="H2" t="s">
        <v>20</v>
      </c>
      <c r="I2">
        <v>26</v>
      </c>
      <c r="J2">
        <v>26</v>
      </c>
      <c r="K2" t="s">
        <v>20</v>
      </c>
      <c r="L2" t="str" cm="1">
        <f t="array" ref="L2">_xlfn.IFS(J2&lt;35,"A1",AND(J2&gt;=35,J2&lt;=45),"A2",J2&gt;45,"A3")</f>
        <v>A1</v>
      </c>
      <c r="M2" s="7">
        <f>G2/F2</f>
        <v>55.859813084112147</v>
      </c>
    </row>
    <row r="3" spans="1:13" x14ac:dyDescent="0.3">
      <c r="A3">
        <v>56</v>
      </c>
      <c r="B3" s="2">
        <v>45193</v>
      </c>
      <c r="C3" t="s">
        <v>21</v>
      </c>
      <c r="D3" t="s">
        <v>22</v>
      </c>
      <c r="E3" t="s">
        <v>23</v>
      </c>
      <c r="F3">
        <v>344</v>
      </c>
      <c r="G3">
        <v>13872</v>
      </c>
      <c r="H3" t="s">
        <v>20</v>
      </c>
      <c r="I3">
        <v>42</v>
      </c>
      <c r="J3">
        <v>42</v>
      </c>
      <c r="K3" t="s">
        <v>20</v>
      </c>
      <c r="L3" t="str" cm="1">
        <f t="array" ref="L3">_xlfn.IFS(J3&lt;35,"A1",AND(J3&gt;=35,J3&lt;=45),"A2",J3&gt;45,"A3")</f>
        <v>A2</v>
      </c>
      <c r="M3" s="7">
        <f t="shared" ref="M3:M66" si="0">G3/F3</f>
        <v>40.325581395348834</v>
      </c>
    </row>
    <row r="4" spans="1:13" x14ac:dyDescent="0.3">
      <c r="A4">
        <v>74</v>
      </c>
      <c r="B4" s="2">
        <v>45197</v>
      </c>
      <c r="C4" t="s">
        <v>21</v>
      </c>
      <c r="D4" t="s">
        <v>24</v>
      </c>
      <c r="E4" t="s">
        <v>19</v>
      </c>
      <c r="F4">
        <v>213</v>
      </c>
      <c r="G4">
        <v>42028</v>
      </c>
      <c r="H4" t="s">
        <v>20</v>
      </c>
      <c r="I4">
        <v>52</v>
      </c>
      <c r="J4">
        <v>52</v>
      </c>
      <c r="K4" t="s">
        <v>20</v>
      </c>
      <c r="L4" t="str" cm="1">
        <f t="array" ref="L4">_xlfn.IFS(J4&lt;35,"A1",AND(J4&gt;=35,J4&lt;=45),"A2",J4&gt;45,"A3")</f>
        <v>A3</v>
      </c>
      <c r="M4" s="7">
        <f t="shared" si="0"/>
        <v>197.31455399061034</v>
      </c>
    </row>
    <row r="5" spans="1:13" x14ac:dyDescent="0.3">
      <c r="A5">
        <v>30</v>
      </c>
      <c r="B5" s="2">
        <v>45200</v>
      </c>
      <c r="C5" t="s">
        <v>21</v>
      </c>
      <c r="D5" t="s">
        <v>25</v>
      </c>
      <c r="E5" t="s">
        <v>23</v>
      </c>
      <c r="F5">
        <v>290</v>
      </c>
      <c r="G5">
        <v>15132</v>
      </c>
      <c r="H5" t="s">
        <v>26</v>
      </c>
      <c r="I5">
        <v>25</v>
      </c>
      <c r="J5">
        <v>25</v>
      </c>
      <c r="K5" t="s">
        <v>20</v>
      </c>
      <c r="L5" t="str" cm="1">
        <f t="array" ref="L5">_xlfn.IFS(J5&lt;35,"A1",AND(J5&gt;=35,J5&lt;=45),"A2",J5&gt;45,"A3")</f>
        <v>A1</v>
      </c>
      <c r="M5" s="7">
        <f t="shared" si="0"/>
        <v>52.179310344827584</v>
      </c>
    </row>
    <row r="6" spans="1:13" x14ac:dyDescent="0.3">
      <c r="A6">
        <v>46</v>
      </c>
      <c r="B6" s="2">
        <v>45207</v>
      </c>
      <c r="C6" t="s">
        <v>21</v>
      </c>
      <c r="D6" t="s">
        <v>27</v>
      </c>
      <c r="E6" t="s">
        <v>23</v>
      </c>
      <c r="F6">
        <v>231</v>
      </c>
      <c r="G6">
        <v>32045</v>
      </c>
      <c r="H6" t="s">
        <v>20</v>
      </c>
      <c r="I6">
        <v>28</v>
      </c>
      <c r="J6">
        <v>28</v>
      </c>
      <c r="K6" t="s">
        <v>29</v>
      </c>
      <c r="L6" t="str" cm="1">
        <f t="array" ref="L6">_xlfn.IFS(J6&lt;35,"A1",AND(J6&gt;=35,J6&lt;=45),"A2",J6&gt;45,"A3")</f>
        <v>A1</v>
      </c>
      <c r="M6" s="7">
        <f t="shared" si="0"/>
        <v>138.72294372294371</v>
      </c>
    </row>
    <row r="7" spans="1:13" x14ac:dyDescent="0.3">
      <c r="A7">
        <v>35</v>
      </c>
      <c r="B7" s="2">
        <v>45214</v>
      </c>
      <c r="C7" t="s">
        <v>21</v>
      </c>
      <c r="D7" t="s">
        <v>24</v>
      </c>
      <c r="E7" t="s">
        <v>28</v>
      </c>
      <c r="F7">
        <v>260</v>
      </c>
      <c r="G7">
        <v>34680</v>
      </c>
      <c r="H7" t="s">
        <v>29</v>
      </c>
      <c r="I7">
        <v>53</v>
      </c>
      <c r="J7">
        <v>52</v>
      </c>
      <c r="K7" t="s">
        <v>20</v>
      </c>
      <c r="L7" t="str" cm="1">
        <f t="array" ref="L7">_xlfn.IFS(J7&lt;35,"A1",AND(J7&gt;=35,J7&lt;=45),"A2",J7&gt;45,"A3")</f>
        <v>A3</v>
      </c>
      <c r="M7" s="7">
        <f t="shared" si="0"/>
        <v>133.38461538461539</v>
      </c>
    </row>
    <row r="8" spans="1:13" x14ac:dyDescent="0.3">
      <c r="A8">
        <v>4</v>
      </c>
      <c r="B8" s="2">
        <v>45214</v>
      </c>
      <c r="C8" t="s">
        <v>21</v>
      </c>
      <c r="D8" t="s">
        <v>30</v>
      </c>
      <c r="E8" t="s">
        <v>28</v>
      </c>
      <c r="F8">
        <v>459</v>
      </c>
      <c r="G8">
        <v>17069</v>
      </c>
      <c r="H8" t="s">
        <v>26</v>
      </c>
      <c r="I8">
        <v>57</v>
      </c>
      <c r="J8">
        <v>57</v>
      </c>
      <c r="K8" t="s">
        <v>29</v>
      </c>
      <c r="L8" t="str" cm="1">
        <f t="array" ref="L8">_xlfn.IFS(J8&lt;35,"A1",AND(J8&gt;=35,J8&lt;=45),"A2",J8&gt;45,"A3")</f>
        <v>A3</v>
      </c>
      <c r="M8" s="7">
        <f t="shared" si="0"/>
        <v>37.187363834422655</v>
      </c>
    </row>
    <row r="9" spans="1:13" x14ac:dyDescent="0.3">
      <c r="A9">
        <v>101</v>
      </c>
      <c r="B9" s="2">
        <v>45215</v>
      </c>
      <c r="C9" t="s">
        <v>31</v>
      </c>
      <c r="D9" t="s">
        <v>32</v>
      </c>
      <c r="E9" t="s">
        <v>33</v>
      </c>
      <c r="F9">
        <v>384</v>
      </c>
      <c r="G9">
        <v>40565</v>
      </c>
      <c r="H9" t="s">
        <v>20</v>
      </c>
      <c r="I9">
        <v>25</v>
      </c>
      <c r="J9">
        <v>25</v>
      </c>
      <c r="K9" t="s">
        <v>29</v>
      </c>
      <c r="L9" t="str" cm="1">
        <f t="array" ref="L9">_xlfn.IFS(J9&lt;35,"A1",AND(J9&gt;=35,J9&lt;=45),"A2",J9&gt;45,"A3")</f>
        <v>A1</v>
      </c>
      <c r="M9" s="7">
        <f t="shared" si="0"/>
        <v>105.63802083333333</v>
      </c>
    </row>
    <row r="10" spans="1:13" x14ac:dyDescent="0.3">
      <c r="A10">
        <v>17</v>
      </c>
      <c r="B10" s="2">
        <v>45215</v>
      </c>
      <c r="C10" t="s">
        <v>21</v>
      </c>
      <c r="D10" t="s">
        <v>22</v>
      </c>
      <c r="E10" t="s">
        <v>28</v>
      </c>
      <c r="F10">
        <v>240</v>
      </c>
      <c r="G10">
        <v>65052</v>
      </c>
      <c r="H10" t="s">
        <v>20</v>
      </c>
      <c r="I10">
        <v>45</v>
      </c>
      <c r="J10">
        <v>42</v>
      </c>
      <c r="K10" t="s">
        <v>20</v>
      </c>
      <c r="L10" t="str" cm="1">
        <f t="array" ref="L10">_xlfn.IFS(J10&lt;35,"A1",AND(J10&gt;=35,J10&lt;=45),"A2",J10&gt;45,"A3")</f>
        <v>A2</v>
      </c>
      <c r="M10" s="7">
        <f t="shared" si="0"/>
        <v>271.05</v>
      </c>
    </row>
    <row r="11" spans="1:13" x14ac:dyDescent="0.3">
      <c r="A11">
        <v>53</v>
      </c>
      <c r="B11" s="2">
        <v>45216</v>
      </c>
      <c r="C11" t="s">
        <v>34</v>
      </c>
      <c r="D11" t="s">
        <v>22</v>
      </c>
      <c r="E11" t="s">
        <v>28</v>
      </c>
      <c r="F11">
        <v>63</v>
      </c>
      <c r="G11">
        <v>3960</v>
      </c>
      <c r="H11" t="s">
        <v>29</v>
      </c>
      <c r="I11">
        <v>48</v>
      </c>
      <c r="J11">
        <v>42</v>
      </c>
      <c r="K11" t="s">
        <v>20</v>
      </c>
      <c r="L11" t="str" cm="1">
        <f t="array" ref="L11">_xlfn.IFS(J11&lt;35,"A1",AND(J11&gt;=35,J11&lt;=45),"A2",J11&gt;45,"A3")</f>
        <v>A2</v>
      </c>
      <c r="M11" s="7">
        <f t="shared" si="0"/>
        <v>62.857142857142854</v>
      </c>
    </row>
    <row r="12" spans="1:13" x14ac:dyDescent="0.3">
      <c r="A12">
        <v>76</v>
      </c>
      <c r="B12" s="2">
        <v>45217</v>
      </c>
      <c r="C12" t="s">
        <v>17</v>
      </c>
      <c r="D12" t="s">
        <v>32</v>
      </c>
      <c r="E12" t="s">
        <v>19</v>
      </c>
      <c r="F12">
        <v>208</v>
      </c>
      <c r="G12">
        <v>25758</v>
      </c>
      <c r="H12" t="s">
        <v>26</v>
      </c>
      <c r="I12">
        <v>46</v>
      </c>
      <c r="J12">
        <v>25</v>
      </c>
      <c r="K12" t="s">
        <v>29</v>
      </c>
      <c r="L12" t="str" cm="1">
        <f t="array" ref="L12">_xlfn.IFS(J12&lt;35,"A1",AND(J12&gt;=35,J12&lt;=45),"A2",J12&gt;45,"A3")</f>
        <v>A1</v>
      </c>
      <c r="M12" s="7">
        <f t="shared" si="0"/>
        <v>123.83653846153847</v>
      </c>
    </row>
    <row r="13" spans="1:13" x14ac:dyDescent="0.3">
      <c r="A13">
        <v>9</v>
      </c>
      <c r="B13" s="2">
        <v>45217</v>
      </c>
      <c r="C13" t="s">
        <v>21</v>
      </c>
      <c r="D13" t="s">
        <v>22</v>
      </c>
      <c r="E13" t="s">
        <v>19</v>
      </c>
      <c r="F13">
        <v>55</v>
      </c>
      <c r="G13">
        <v>25893</v>
      </c>
      <c r="H13" t="s">
        <v>29</v>
      </c>
      <c r="I13">
        <v>30</v>
      </c>
      <c r="J13">
        <v>42</v>
      </c>
      <c r="K13" t="s">
        <v>20</v>
      </c>
      <c r="L13" t="str" cm="1">
        <f t="array" ref="L13">_xlfn.IFS(J13&lt;35,"A1",AND(J13&gt;=35,J13&lt;=45),"A2",J13&gt;45,"A3")</f>
        <v>A2</v>
      </c>
      <c r="M13" s="7">
        <f t="shared" si="0"/>
        <v>470.78181818181821</v>
      </c>
    </row>
    <row r="14" spans="1:13" x14ac:dyDescent="0.3">
      <c r="A14">
        <v>40</v>
      </c>
      <c r="B14" s="2">
        <v>45221</v>
      </c>
      <c r="C14" t="s">
        <v>34</v>
      </c>
      <c r="D14" t="s">
        <v>24</v>
      </c>
      <c r="E14" t="s">
        <v>23</v>
      </c>
      <c r="F14">
        <v>165</v>
      </c>
      <c r="G14">
        <v>679</v>
      </c>
      <c r="H14" t="s">
        <v>29</v>
      </c>
      <c r="I14">
        <v>32</v>
      </c>
      <c r="J14">
        <v>52</v>
      </c>
      <c r="K14" t="s">
        <v>20</v>
      </c>
      <c r="L14" t="str" cm="1">
        <f t="array" ref="L14">_xlfn.IFS(J14&lt;35,"A1",AND(J14&gt;=35,J14&lt;=45),"A2",J14&gt;45,"A3")</f>
        <v>A3</v>
      </c>
      <c r="M14" s="7">
        <f t="shared" si="0"/>
        <v>4.1151515151515152</v>
      </c>
    </row>
    <row r="15" spans="1:13" x14ac:dyDescent="0.3">
      <c r="A15">
        <v>47</v>
      </c>
      <c r="B15" s="2">
        <v>45228</v>
      </c>
      <c r="C15" t="s">
        <v>34</v>
      </c>
      <c r="D15" t="s">
        <v>30</v>
      </c>
      <c r="E15" t="s">
        <v>23</v>
      </c>
      <c r="F15">
        <v>288</v>
      </c>
      <c r="G15">
        <v>33284</v>
      </c>
      <c r="H15" t="s">
        <v>20</v>
      </c>
      <c r="I15">
        <v>26</v>
      </c>
      <c r="J15">
        <v>57</v>
      </c>
      <c r="K15" t="s">
        <v>29</v>
      </c>
      <c r="L15" t="str" cm="1">
        <f t="array" ref="L15">_xlfn.IFS(J15&lt;35,"A1",AND(J15&gt;=35,J15&lt;=45),"A2",J15&gt;45,"A3")</f>
        <v>A3</v>
      </c>
      <c r="M15" s="7">
        <f t="shared" si="0"/>
        <v>115.56944444444444</v>
      </c>
    </row>
    <row r="16" spans="1:13" x14ac:dyDescent="0.3">
      <c r="A16">
        <v>36</v>
      </c>
      <c r="B16" s="2">
        <v>45230</v>
      </c>
      <c r="C16" t="s">
        <v>21</v>
      </c>
      <c r="D16" t="s">
        <v>18</v>
      </c>
      <c r="E16" t="s">
        <v>28</v>
      </c>
      <c r="F16">
        <v>460</v>
      </c>
      <c r="G16">
        <v>50274</v>
      </c>
      <c r="H16" t="s">
        <v>29</v>
      </c>
      <c r="I16">
        <v>26</v>
      </c>
      <c r="J16">
        <v>26</v>
      </c>
      <c r="K16" t="s">
        <v>20</v>
      </c>
      <c r="L16" t="str" cm="1">
        <f t="array" ref="L16">_xlfn.IFS(J16&lt;35,"A1",AND(J16&gt;=35,J16&lt;=45),"A2",J16&gt;45,"A3")</f>
        <v>A1</v>
      </c>
      <c r="M16" s="7">
        <f t="shared" si="0"/>
        <v>109.29130434782608</v>
      </c>
    </row>
    <row r="17" spans="1:13" x14ac:dyDescent="0.3">
      <c r="A17">
        <v>115</v>
      </c>
      <c r="B17" s="2">
        <v>45232</v>
      </c>
      <c r="C17" t="s">
        <v>21</v>
      </c>
      <c r="D17" t="s">
        <v>18</v>
      </c>
      <c r="E17" t="s">
        <v>23</v>
      </c>
      <c r="F17">
        <v>541</v>
      </c>
      <c r="G17">
        <v>42432</v>
      </c>
      <c r="H17" t="s">
        <v>20</v>
      </c>
      <c r="I17">
        <v>35</v>
      </c>
      <c r="J17">
        <v>26</v>
      </c>
      <c r="K17" t="s">
        <v>20</v>
      </c>
      <c r="L17" t="str" cm="1">
        <f t="array" ref="L17">_xlfn.IFS(J17&lt;35,"A1",AND(J17&gt;=35,J17&lt;=45),"A2",J17&gt;45,"A3")</f>
        <v>A1</v>
      </c>
      <c r="M17" s="7">
        <f t="shared" si="0"/>
        <v>78.432532347504619</v>
      </c>
    </row>
    <row r="18" spans="1:13" x14ac:dyDescent="0.3">
      <c r="A18">
        <v>70</v>
      </c>
      <c r="B18" s="2">
        <v>45232</v>
      </c>
      <c r="C18" t="s">
        <v>17</v>
      </c>
      <c r="D18" t="s">
        <v>22</v>
      </c>
      <c r="E18" t="s">
        <v>33</v>
      </c>
      <c r="F18">
        <v>335</v>
      </c>
      <c r="G18">
        <v>36984</v>
      </c>
      <c r="H18" t="s">
        <v>20</v>
      </c>
      <c r="I18">
        <v>32</v>
      </c>
      <c r="J18">
        <v>42</v>
      </c>
      <c r="K18" t="s">
        <v>20</v>
      </c>
      <c r="L18" t="str" cm="1">
        <f t="array" ref="L18">_xlfn.IFS(J18&lt;35,"A1",AND(J18&gt;=35,J18&lt;=45),"A2",J18&gt;45,"A3")</f>
        <v>A2</v>
      </c>
      <c r="M18" s="7">
        <f t="shared" si="0"/>
        <v>110.4</v>
      </c>
    </row>
    <row r="19" spans="1:13" x14ac:dyDescent="0.3">
      <c r="A19">
        <v>114</v>
      </c>
      <c r="B19" s="2">
        <v>45233</v>
      </c>
      <c r="C19" t="s">
        <v>17</v>
      </c>
      <c r="D19" t="s">
        <v>30</v>
      </c>
      <c r="E19" t="s">
        <v>23</v>
      </c>
      <c r="F19">
        <v>126</v>
      </c>
      <c r="G19">
        <v>40446</v>
      </c>
      <c r="H19" t="s">
        <v>26</v>
      </c>
      <c r="I19">
        <v>31</v>
      </c>
      <c r="J19">
        <v>57</v>
      </c>
      <c r="K19" t="s">
        <v>29</v>
      </c>
      <c r="L19" t="str" cm="1">
        <f t="array" ref="L19">_xlfn.IFS(J19&lt;35,"A1",AND(J19&gt;=35,J19&lt;=45),"A2",J19&gt;45,"A3")</f>
        <v>A3</v>
      </c>
      <c r="M19" s="7">
        <f t="shared" si="0"/>
        <v>321</v>
      </c>
    </row>
    <row r="20" spans="1:13" x14ac:dyDescent="0.3">
      <c r="A20">
        <v>50</v>
      </c>
      <c r="B20" s="2">
        <v>45234</v>
      </c>
      <c r="C20" t="s">
        <v>17</v>
      </c>
      <c r="D20" t="s">
        <v>32</v>
      </c>
      <c r="E20" t="s">
        <v>33</v>
      </c>
      <c r="F20">
        <v>177</v>
      </c>
      <c r="G20">
        <v>30600</v>
      </c>
      <c r="H20" t="s">
        <v>29</v>
      </c>
      <c r="I20">
        <v>26</v>
      </c>
      <c r="J20">
        <v>25</v>
      </c>
      <c r="K20" t="s">
        <v>29</v>
      </c>
      <c r="L20" t="str" cm="1">
        <f t="array" ref="L20">_xlfn.IFS(J20&lt;35,"A1",AND(J20&gt;=35,J20&lt;=45),"A2",J20&gt;45,"A3")</f>
        <v>A1</v>
      </c>
      <c r="M20" s="7">
        <f t="shared" si="0"/>
        <v>172.88135593220338</v>
      </c>
    </row>
    <row r="21" spans="1:13" x14ac:dyDescent="0.3">
      <c r="A21">
        <v>25</v>
      </c>
      <c r="B21" s="2">
        <v>45235</v>
      </c>
      <c r="C21" t="s">
        <v>21</v>
      </c>
      <c r="D21" t="s">
        <v>18</v>
      </c>
      <c r="E21" t="s">
        <v>23</v>
      </c>
      <c r="F21">
        <v>439</v>
      </c>
      <c r="G21">
        <v>31392</v>
      </c>
      <c r="H21" t="s">
        <v>29</v>
      </c>
      <c r="I21">
        <v>38</v>
      </c>
      <c r="J21">
        <v>26</v>
      </c>
      <c r="K21" t="s">
        <v>20</v>
      </c>
      <c r="L21" t="str" cm="1">
        <f t="array" ref="L21">_xlfn.IFS(J21&lt;35,"A1",AND(J21&gt;=35,J21&lt;=45),"A2",J21&gt;45,"A3")</f>
        <v>A1</v>
      </c>
      <c r="M21" s="7">
        <f t="shared" si="0"/>
        <v>71.50797266514806</v>
      </c>
    </row>
    <row r="22" spans="1:13" x14ac:dyDescent="0.3">
      <c r="A22">
        <v>116</v>
      </c>
      <c r="B22" s="2">
        <v>45240</v>
      </c>
      <c r="C22" t="s">
        <v>17</v>
      </c>
      <c r="D22" t="s">
        <v>27</v>
      </c>
      <c r="E22" t="s">
        <v>33</v>
      </c>
      <c r="F22">
        <v>666</v>
      </c>
      <c r="G22">
        <v>64635</v>
      </c>
      <c r="H22" t="s">
        <v>29</v>
      </c>
      <c r="I22">
        <v>35</v>
      </c>
      <c r="J22">
        <v>28</v>
      </c>
      <c r="K22" t="s">
        <v>29</v>
      </c>
      <c r="L22" t="str" cm="1">
        <f t="array" ref="L22">_xlfn.IFS(J22&lt;35,"A1",AND(J22&gt;=35,J22&lt;=45),"A2",J22&gt;45,"A3")</f>
        <v>A1</v>
      </c>
      <c r="M22" s="7">
        <f t="shared" si="0"/>
        <v>97.049549549549553</v>
      </c>
    </row>
    <row r="23" spans="1:13" x14ac:dyDescent="0.3">
      <c r="A23">
        <v>104</v>
      </c>
      <c r="B23" s="2">
        <v>45243</v>
      </c>
      <c r="C23" t="s">
        <v>21</v>
      </c>
      <c r="D23" t="s">
        <v>22</v>
      </c>
      <c r="E23" t="s">
        <v>28</v>
      </c>
      <c r="F23">
        <v>359</v>
      </c>
      <c r="G23">
        <v>12753</v>
      </c>
      <c r="H23" t="s">
        <v>29</v>
      </c>
      <c r="I23">
        <v>36</v>
      </c>
      <c r="J23">
        <v>42</v>
      </c>
      <c r="K23" t="s">
        <v>20</v>
      </c>
      <c r="L23" t="str" cm="1">
        <f t="array" ref="L23">_xlfn.IFS(J23&lt;35,"A1",AND(J23&gt;=35,J23&lt;=45),"A2",J23&gt;45,"A3")</f>
        <v>A2</v>
      </c>
      <c r="M23" s="7">
        <f t="shared" si="0"/>
        <v>35.523676880222844</v>
      </c>
    </row>
    <row r="24" spans="1:13" x14ac:dyDescent="0.3">
      <c r="A24">
        <v>67</v>
      </c>
      <c r="B24" s="2">
        <v>45249</v>
      </c>
      <c r="C24" t="s">
        <v>21</v>
      </c>
      <c r="D24" t="s">
        <v>18</v>
      </c>
      <c r="E24" t="s">
        <v>23</v>
      </c>
      <c r="F24">
        <v>511</v>
      </c>
      <c r="G24">
        <v>16698</v>
      </c>
      <c r="H24" t="s">
        <v>26</v>
      </c>
      <c r="I24">
        <v>33</v>
      </c>
      <c r="J24">
        <v>26</v>
      </c>
      <c r="K24" t="s">
        <v>20</v>
      </c>
      <c r="L24" t="str" cm="1">
        <f t="array" ref="L24">_xlfn.IFS(J24&lt;35,"A1",AND(J24&gt;=35,J24&lt;=45),"A2",J24&gt;45,"A3")</f>
        <v>A1</v>
      </c>
      <c r="M24" s="7">
        <f t="shared" si="0"/>
        <v>32.677103718199611</v>
      </c>
    </row>
    <row r="25" spans="1:13" x14ac:dyDescent="0.3">
      <c r="A25">
        <v>34</v>
      </c>
      <c r="B25" s="2">
        <v>45251</v>
      </c>
      <c r="C25" t="s">
        <v>21</v>
      </c>
      <c r="D25" t="s">
        <v>35</v>
      </c>
      <c r="E25" t="s">
        <v>28</v>
      </c>
      <c r="F25">
        <v>333</v>
      </c>
      <c r="G25">
        <v>48000</v>
      </c>
      <c r="H25" t="s">
        <v>20</v>
      </c>
      <c r="I25">
        <v>28</v>
      </c>
      <c r="J25">
        <v>28</v>
      </c>
      <c r="K25" t="s">
        <v>29</v>
      </c>
      <c r="L25" t="str" cm="1">
        <f t="array" ref="L25">_xlfn.IFS(J25&lt;35,"A1",AND(J25&gt;=35,J25&lt;=45),"A2",J25&gt;45,"A3")</f>
        <v>A1</v>
      </c>
      <c r="M25" s="7">
        <f t="shared" si="0"/>
        <v>144.14414414414415</v>
      </c>
    </row>
    <row r="26" spans="1:13" x14ac:dyDescent="0.3">
      <c r="A26">
        <v>43</v>
      </c>
      <c r="B26" s="2">
        <v>45252</v>
      </c>
      <c r="C26" t="s">
        <v>17</v>
      </c>
      <c r="D26" t="s">
        <v>22</v>
      </c>
      <c r="E26" t="s">
        <v>23</v>
      </c>
      <c r="F26">
        <v>354</v>
      </c>
      <c r="G26">
        <v>679</v>
      </c>
      <c r="H26" t="s">
        <v>29</v>
      </c>
      <c r="I26">
        <v>32</v>
      </c>
      <c r="J26">
        <v>42</v>
      </c>
      <c r="K26" t="s">
        <v>20</v>
      </c>
      <c r="L26" t="str" cm="1">
        <f t="array" ref="L26">_xlfn.IFS(J26&lt;35,"A1",AND(J26&gt;=35,J26&lt;=45),"A2",J26&gt;45,"A3")</f>
        <v>A2</v>
      </c>
      <c r="M26" s="7">
        <f t="shared" si="0"/>
        <v>1.9180790960451977</v>
      </c>
    </row>
    <row r="27" spans="1:13" x14ac:dyDescent="0.3">
      <c r="A27">
        <v>83</v>
      </c>
      <c r="B27" s="2">
        <v>45254</v>
      </c>
      <c r="C27" t="s">
        <v>21</v>
      </c>
      <c r="D27" t="s">
        <v>18</v>
      </c>
      <c r="E27" t="s">
        <v>28</v>
      </c>
      <c r="F27">
        <v>545</v>
      </c>
      <c r="G27">
        <v>65250</v>
      </c>
      <c r="H27" t="s">
        <v>20</v>
      </c>
      <c r="I27">
        <v>33</v>
      </c>
      <c r="J27">
        <v>26</v>
      </c>
      <c r="K27" t="s">
        <v>20</v>
      </c>
      <c r="L27" t="str" cm="1">
        <f t="array" ref="L27">_xlfn.IFS(J27&lt;35,"A1",AND(J27&gt;=35,J27&lt;=45),"A2",J27&gt;45,"A3")</f>
        <v>A1</v>
      </c>
      <c r="M27" s="7">
        <f t="shared" si="0"/>
        <v>119.72477064220183</v>
      </c>
    </row>
    <row r="28" spans="1:13" x14ac:dyDescent="0.3">
      <c r="A28">
        <v>20</v>
      </c>
      <c r="B28" s="2">
        <v>45254</v>
      </c>
      <c r="C28" t="s">
        <v>21</v>
      </c>
      <c r="D28" t="s">
        <v>22</v>
      </c>
      <c r="E28" t="s">
        <v>19</v>
      </c>
      <c r="F28">
        <v>331</v>
      </c>
      <c r="G28">
        <v>27140</v>
      </c>
      <c r="H28" t="s">
        <v>29</v>
      </c>
      <c r="I28">
        <v>37</v>
      </c>
      <c r="J28">
        <v>42</v>
      </c>
      <c r="K28" t="s">
        <v>20</v>
      </c>
      <c r="L28" t="str" cm="1">
        <f t="array" ref="L28">_xlfn.IFS(J28&lt;35,"A1",AND(J28&gt;=35,J28&lt;=45),"A2",J28&gt;45,"A3")</f>
        <v>A2</v>
      </c>
      <c r="M28" s="7">
        <f t="shared" si="0"/>
        <v>81.993957703927492</v>
      </c>
    </row>
    <row r="29" spans="1:13" x14ac:dyDescent="0.3">
      <c r="A29">
        <v>109</v>
      </c>
      <c r="B29" s="2">
        <v>45256</v>
      </c>
      <c r="C29" t="s">
        <v>34</v>
      </c>
      <c r="D29" t="s">
        <v>35</v>
      </c>
      <c r="E29" t="s">
        <v>23</v>
      </c>
      <c r="F29">
        <v>86</v>
      </c>
      <c r="G29">
        <v>25853</v>
      </c>
      <c r="H29" t="s">
        <v>20</v>
      </c>
      <c r="I29">
        <v>35</v>
      </c>
      <c r="J29">
        <v>28</v>
      </c>
      <c r="K29" t="s">
        <v>29</v>
      </c>
      <c r="L29" t="str" cm="1">
        <f t="array" ref="L29">_xlfn.IFS(J29&lt;35,"A1",AND(J29&gt;=35,J29&lt;=45),"A2",J29&gt;45,"A3")</f>
        <v>A1</v>
      </c>
      <c r="M29" s="7">
        <f t="shared" si="0"/>
        <v>300.61627906976742</v>
      </c>
    </row>
    <row r="30" spans="1:13" x14ac:dyDescent="0.3">
      <c r="A30">
        <v>108</v>
      </c>
      <c r="B30" s="2">
        <v>45264</v>
      </c>
      <c r="C30" t="s">
        <v>21</v>
      </c>
      <c r="D30" t="s">
        <v>22</v>
      </c>
      <c r="E30" t="s">
        <v>23</v>
      </c>
      <c r="F30">
        <v>214</v>
      </c>
      <c r="G30">
        <v>31122</v>
      </c>
      <c r="H30" t="s">
        <v>29</v>
      </c>
      <c r="I30">
        <v>35</v>
      </c>
      <c r="J30">
        <v>42</v>
      </c>
      <c r="K30" t="s">
        <v>20</v>
      </c>
      <c r="L30" t="str" cm="1">
        <f t="array" ref="L30">_xlfn.IFS(J30&lt;35,"A1",AND(J30&gt;=35,J30&lt;=45),"A2",J30&gt;45,"A3")</f>
        <v>A2</v>
      </c>
      <c r="M30" s="7">
        <f t="shared" si="0"/>
        <v>145.42990654205607</v>
      </c>
    </row>
    <row r="31" spans="1:13" x14ac:dyDescent="0.3">
      <c r="A31">
        <v>118</v>
      </c>
      <c r="B31" s="2">
        <v>45273</v>
      </c>
      <c r="C31" t="s">
        <v>21</v>
      </c>
      <c r="D31" t="s">
        <v>22</v>
      </c>
      <c r="E31" t="s">
        <v>23</v>
      </c>
      <c r="F31">
        <v>289</v>
      </c>
      <c r="G31">
        <v>24948</v>
      </c>
      <c r="H31" t="s">
        <v>29</v>
      </c>
      <c r="I31">
        <v>35</v>
      </c>
      <c r="J31">
        <v>42</v>
      </c>
      <c r="K31" t="s">
        <v>20</v>
      </c>
      <c r="L31" t="str" cm="1">
        <f t="array" ref="L31">_xlfn.IFS(J31&lt;35,"A1",AND(J31&gt;=35,J31&lt;=45),"A2",J31&gt;45,"A3")</f>
        <v>A2</v>
      </c>
      <c r="M31" s="7">
        <f t="shared" si="0"/>
        <v>86.325259515570934</v>
      </c>
    </row>
    <row r="32" spans="1:13" x14ac:dyDescent="0.3">
      <c r="A32">
        <v>103</v>
      </c>
      <c r="B32" s="2">
        <v>45274</v>
      </c>
      <c r="C32" t="s">
        <v>34</v>
      </c>
      <c r="D32" t="s">
        <v>30</v>
      </c>
      <c r="E32" t="s">
        <v>23</v>
      </c>
      <c r="F32">
        <v>97</v>
      </c>
      <c r="G32">
        <v>679</v>
      </c>
      <c r="H32" t="s">
        <v>20</v>
      </c>
      <c r="I32">
        <v>35</v>
      </c>
      <c r="J32">
        <v>57</v>
      </c>
      <c r="K32" t="s">
        <v>29</v>
      </c>
      <c r="L32" t="str" cm="1">
        <f t="array" ref="L32">_xlfn.IFS(J32&lt;35,"A1",AND(J32&gt;=35,J32&lt;=45),"A2",J32&gt;45,"A3")</f>
        <v>A3</v>
      </c>
      <c r="M32" s="7">
        <f t="shared" si="0"/>
        <v>7</v>
      </c>
    </row>
    <row r="33" spans="1:13" x14ac:dyDescent="0.3">
      <c r="A33">
        <v>93</v>
      </c>
      <c r="B33" s="2">
        <v>45277</v>
      </c>
      <c r="C33" t="s">
        <v>31</v>
      </c>
      <c r="D33" t="s">
        <v>35</v>
      </c>
      <c r="E33" t="s">
        <v>23</v>
      </c>
      <c r="F33">
        <v>366</v>
      </c>
      <c r="G33">
        <v>4131</v>
      </c>
      <c r="H33" t="s">
        <v>29</v>
      </c>
      <c r="I33">
        <v>30</v>
      </c>
      <c r="J33">
        <v>28</v>
      </c>
      <c r="K33" t="s">
        <v>29</v>
      </c>
      <c r="L33" t="str" cm="1">
        <f t="array" ref="L33">_xlfn.IFS(J33&lt;35,"A1",AND(J33&gt;=35,J33&lt;=45),"A2",J33&gt;45,"A3")</f>
        <v>A1</v>
      </c>
      <c r="M33" s="7">
        <f t="shared" si="0"/>
        <v>11.28688524590164</v>
      </c>
    </row>
    <row r="34" spans="1:13" x14ac:dyDescent="0.3">
      <c r="A34">
        <v>98</v>
      </c>
      <c r="B34" s="2">
        <v>45282</v>
      </c>
      <c r="C34" t="s">
        <v>21</v>
      </c>
      <c r="D34" t="s">
        <v>30</v>
      </c>
      <c r="E34" t="s">
        <v>28</v>
      </c>
      <c r="F34">
        <v>222</v>
      </c>
      <c r="G34">
        <v>17500</v>
      </c>
      <c r="H34" t="s">
        <v>29</v>
      </c>
      <c r="I34">
        <v>30</v>
      </c>
      <c r="J34">
        <v>57</v>
      </c>
      <c r="K34" t="s">
        <v>29</v>
      </c>
      <c r="L34" t="str" cm="1">
        <f t="array" ref="L34">_xlfn.IFS(J34&lt;35,"A1",AND(J34&gt;=35,J34&lt;=45),"A2",J34&gt;45,"A3")</f>
        <v>A3</v>
      </c>
      <c r="M34" s="7">
        <f t="shared" si="0"/>
        <v>78.828828828828833</v>
      </c>
    </row>
    <row r="35" spans="1:13" x14ac:dyDescent="0.3">
      <c r="A35">
        <v>61</v>
      </c>
      <c r="B35" s="2">
        <v>45286</v>
      </c>
      <c r="C35" t="s">
        <v>21</v>
      </c>
      <c r="D35" t="s">
        <v>24</v>
      </c>
      <c r="E35" t="s">
        <v>23</v>
      </c>
      <c r="F35">
        <v>151</v>
      </c>
      <c r="G35">
        <v>8475</v>
      </c>
      <c r="H35" t="s">
        <v>20</v>
      </c>
      <c r="I35">
        <v>35</v>
      </c>
      <c r="J35">
        <v>52</v>
      </c>
      <c r="K35" t="s">
        <v>20</v>
      </c>
      <c r="L35" t="str" cm="1">
        <f t="array" ref="L35">_xlfn.IFS(J35&lt;35,"A1",AND(J35&gt;=35,J35&lt;=45),"A2",J35&gt;45,"A3")</f>
        <v>A3</v>
      </c>
      <c r="M35" s="7">
        <f t="shared" si="0"/>
        <v>56.12582781456954</v>
      </c>
    </row>
    <row r="36" spans="1:13" x14ac:dyDescent="0.3">
      <c r="A36">
        <v>100</v>
      </c>
      <c r="B36" s="2">
        <v>45286</v>
      </c>
      <c r="C36" t="s">
        <v>21</v>
      </c>
      <c r="D36" t="s">
        <v>24</v>
      </c>
      <c r="E36" t="s">
        <v>19</v>
      </c>
      <c r="F36">
        <v>307</v>
      </c>
      <c r="G36">
        <v>679</v>
      </c>
      <c r="H36" t="s">
        <v>20</v>
      </c>
      <c r="I36">
        <v>38</v>
      </c>
      <c r="J36">
        <v>52</v>
      </c>
      <c r="K36" t="s">
        <v>20</v>
      </c>
      <c r="L36" t="str" cm="1">
        <f t="array" ref="L36">_xlfn.IFS(J36&lt;35,"A1",AND(J36&gt;=35,J36&lt;=45),"A2",J36&gt;45,"A3")</f>
        <v>A3</v>
      </c>
      <c r="M36" s="7">
        <f t="shared" si="0"/>
        <v>2.2117263843648209</v>
      </c>
    </row>
    <row r="37" spans="1:13" x14ac:dyDescent="0.3">
      <c r="A37">
        <v>28</v>
      </c>
      <c r="B37" s="2">
        <v>45286</v>
      </c>
      <c r="C37" t="s">
        <v>21</v>
      </c>
      <c r="D37" t="s">
        <v>30</v>
      </c>
      <c r="E37" t="s">
        <v>23</v>
      </c>
      <c r="F37">
        <v>444</v>
      </c>
      <c r="G37">
        <v>7272</v>
      </c>
      <c r="H37" t="s">
        <v>29</v>
      </c>
      <c r="I37">
        <v>29</v>
      </c>
      <c r="J37">
        <v>57</v>
      </c>
      <c r="K37" t="s">
        <v>29</v>
      </c>
      <c r="L37" t="str" cm="1">
        <f t="array" ref="L37">_xlfn.IFS(J37&lt;35,"A1",AND(J37&gt;=35,J37&lt;=45),"A2",J37&gt;45,"A3")</f>
        <v>A3</v>
      </c>
      <c r="M37" s="7">
        <f t="shared" si="0"/>
        <v>16.378378378378379</v>
      </c>
    </row>
    <row r="38" spans="1:13" x14ac:dyDescent="0.3">
      <c r="A38">
        <v>90</v>
      </c>
      <c r="B38" s="2">
        <v>45289</v>
      </c>
      <c r="C38" t="s">
        <v>21</v>
      </c>
      <c r="D38" t="s">
        <v>18</v>
      </c>
      <c r="E38" t="s">
        <v>33</v>
      </c>
      <c r="F38">
        <v>404</v>
      </c>
      <c r="G38">
        <v>13310</v>
      </c>
      <c r="H38" t="s">
        <v>20</v>
      </c>
      <c r="I38">
        <v>27</v>
      </c>
      <c r="J38">
        <v>26</v>
      </c>
      <c r="K38" t="s">
        <v>20</v>
      </c>
      <c r="L38" t="str" cm="1">
        <f t="array" ref="L38">_xlfn.IFS(J38&lt;35,"A1",AND(J38&gt;=35,J38&lt;=45),"A2",J38&gt;45,"A3")</f>
        <v>A1</v>
      </c>
      <c r="M38" s="7">
        <f t="shared" si="0"/>
        <v>32.945544554455445</v>
      </c>
    </row>
    <row r="39" spans="1:13" x14ac:dyDescent="0.3">
      <c r="A39">
        <v>58</v>
      </c>
      <c r="B39" s="2">
        <v>45292</v>
      </c>
      <c r="C39" t="s">
        <v>31</v>
      </c>
      <c r="D39" t="s">
        <v>22</v>
      </c>
      <c r="E39" t="s">
        <v>23</v>
      </c>
      <c r="F39">
        <v>160</v>
      </c>
      <c r="G39">
        <v>59248</v>
      </c>
      <c r="H39" t="s">
        <v>20</v>
      </c>
      <c r="I39">
        <v>38</v>
      </c>
      <c r="J39">
        <v>42</v>
      </c>
      <c r="K39" t="s">
        <v>20</v>
      </c>
      <c r="L39" t="str" cm="1">
        <f t="array" ref="L39">_xlfn.IFS(J39&lt;35,"A1",AND(J39&gt;=35,J39&lt;=45),"A2",J39&gt;45,"A3")</f>
        <v>A2</v>
      </c>
      <c r="M39" s="7">
        <f t="shared" si="0"/>
        <v>370.3</v>
      </c>
    </row>
    <row r="40" spans="1:13" x14ac:dyDescent="0.3">
      <c r="A40">
        <v>97</v>
      </c>
      <c r="B40" s="2">
        <v>45293</v>
      </c>
      <c r="C40" t="s">
        <v>21</v>
      </c>
      <c r="D40" t="s">
        <v>32</v>
      </c>
      <c r="E40" t="s">
        <v>19</v>
      </c>
      <c r="F40">
        <v>368</v>
      </c>
      <c r="G40">
        <v>25254</v>
      </c>
      <c r="H40" t="s">
        <v>20</v>
      </c>
      <c r="I40">
        <v>35</v>
      </c>
      <c r="J40">
        <v>25</v>
      </c>
      <c r="K40" t="s">
        <v>29</v>
      </c>
      <c r="L40" t="str" cm="1">
        <f t="array" ref="L40">_xlfn.IFS(J40&lt;35,"A1",AND(J40&gt;=35,J40&lt;=45),"A2",J40&gt;45,"A3")</f>
        <v>A1</v>
      </c>
      <c r="M40" s="7">
        <f t="shared" si="0"/>
        <v>68.625</v>
      </c>
    </row>
    <row r="41" spans="1:13" x14ac:dyDescent="0.3">
      <c r="A41">
        <v>22</v>
      </c>
      <c r="B41" s="2">
        <v>45294</v>
      </c>
      <c r="C41" t="s">
        <v>21</v>
      </c>
      <c r="D41" t="s">
        <v>36</v>
      </c>
      <c r="E41" t="s">
        <v>28</v>
      </c>
      <c r="F41">
        <v>180</v>
      </c>
      <c r="G41">
        <v>33684</v>
      </c>
      <c r="H41" t="s">
        <v>20</v>
      </c>
      <c r="I41">
        <v>49</v>
      </c>
      <c r="J41">
        <v>49</v>
      </c>
      <c r="K41" t="s">
        <v>29</v>
      </c>
      <c r="L41" t="str" cm="1">
        <f t="array" ref="L41">_xlfn.IFS(J41&lt;35,"A1",AND(J41&gt;=35,J41&lt;=45),"A2",J41&gt;45,"A3")</f>
        <v>A3</v>
      </c>
      <c r="M41" s="7">
        <f t="shared" si="0"/>
        <v>187.13333333333333</v>
      </c>
    </row>
    <row r="42" spans="1:13" x14ac:dyDescent="0.3">
      <c r="A42">
        <v>57</v>
      </c>
      <c r="B42" s="2">
        <v>45296</v>
      </c>
      <c r="C42" t="s">
        <v>21</v>
      </c>
      <c r="D42" t="s">
        <v>32</v>
      </c>
      <c r="E42" t="s">
        <v>33</v>
      </c>
      <c r="F42">
        <v>255</v>
      </c>
      <c r="G42">
        <v>57706</v>
      </c>
      <c r="H42" t="s">
        <v>20</v>
      </c>
      <c r="I42">
        <v>28</v>
      </c>
      <c r="J42">
        <v>25</v>
      </c>
      <c r="K42" t="s">
        <v>29</v>
      </c>
      <c r="L42" t="str" cm="1">
        <f t="array" ref="L42">_xlfn.IFS(J42&lt;35,"A1",AND(J42&gt;=35,J42&lt;=45),"A2",J42&gt;45,"A3")</f>
        <v>A1</v>
      </c>
      <c r="M42" s="7">
        <f t="shared" si="0"/>
        <v>226.29803921568629</v>
      </c>
    </row>
    <row r="43" spans="1:13" x14ac:dyDescent="0.3">
      <c r="A43">
        <v>24</v>
      </c>
      <c r="B43" s="2">
        <v>45296</v>
      </c>
      <c r="C43" t="s">
        <v>31</v>
      </c>
      <c r="D43" t="s">
        <v>30</v>
      </c>
      <c r="E43" t="s">
        <v>28</v>
      </c>
      <c r="F43">
        <v>458</v>
      </c>
      <c r="G43">
        <v>42873</v>
      </c>
      <c r="H43" t="s">
        <v>20</v>
      </c>
      <c r="I43">
        <v>27</v>
      </c>
      <c r="J43">
        <v>57</v>
      </c>
      <c r="K43" t="s">
        <v>29</v>
      </c>
      <c r="L43" t="str" cm="1">
        <f t="array" ref="L43">_xlfn.IFS(J43&lt;35,"A1",AND(J43&gt;=35,J43&lt;=45),"A2",J43&gt;45,"A3")</f>
        <v>A3</v>
      </c>
      <c r="M43" s="7">
        <f t="shared" si="0"/>
        <v>93.609170305676855</v>
      </c>
    </row>
    <row r="44" spans="1:13" x14ac:dyDescent="0.3">
      <c r="A44">
        <v>8</v>
      </c>
      <c r="B44" s="2">
        <v>45299</v>
      </c>
      <c r="C44" t="s">
        <v>21</v>
      </c>
      <c r="D44" t="s">
        <v>35</v>
      </c>
      <c r="E44" t="s">
        <v>19</v>
      </c>
      <c r="F44">
        <v>447</v>
      </c>
      <c r="G44">
        <v>52269</v>
      </c>
      <c r="H44" t="s">
        <v>29</v>
      </c>
      <c r="I44">
        <v>36</v>
      </c>
      <c r="J44">
        <v>28</v>
      </c>
      <c r="K44" t="s">
        <v>29</v>
      </c>
      <c r="L44" t="str" cm="1">
        <f t="array" ref="L44">_xlfn.IFS(J44&lt;35,"A1",AND(J44&gt;=35,J44&lt;=45),"A2",J44&gt;45,"A3")</f>
        <v>A1</v>
      </c>
      <c r="M44" s="7">
        <f t="shared" si="0"/>
        <v>116.93288590604027</v>
      </c>
    </row>
    <row r="45" spans="1:13" x14ac:dyDescent="0.3">
      <c r="A45">
        <v>21</v>
      </c>
      <c r="B45" s="2">
        <v>45304</v>
      </c>
      <c r="C45" t="s">
        <v>31</v>
      </c>
      <c r="D45" t="s">
        <v>22</v>
      </c>
      <c r="E45" t="s">
        <v>28</v>
      </c>
      <c r="F45">
        <v>250</v>
      </c>
      <c r="G45">
        <v>11385</v>
      </c>
      <c r="H45" t="s">
        <v>29</v>
      </c>
      <c r="I45">
        <v>33</v>
      </c>
      <c r="J45">
        <v>42</v>
      </c>
      <c r="K45" t="s">
        <v>20</v>
      </c>
      <c r="L45" t="str" cm="1">
        <f t="array" ref="L45">_xlfn.IFS(J45&lt;35,"A1",AND(J45&gt;=35,J45&lt;=45),"A2",J45&gt;45,"A3")</f>
        <v>A2</v>
      </c>
      <c r="M45" s="7">
        <f t="shared" si="0"/>
        <v>45.54</v>
      </c>
    </row>
    <row r="46" spans="1:13" x14ac:dyDescent="0.3">
      <c r="A46">
        <v>88</v>
      </c>
      <c r="B46" s="2">
        <v>45305</v>
      </c>
      <c r="C46" t="s">
        <v>17</v>
      </c>
      <c r="D46" t="s">
        <v>27</v>
      </c>
      <c r="E46" t="s">
        <v>33</v>
      </c>
      <c r="F46">
        <v>264</v>
      </c>
      <c r="G46">
        <v>75332</v>
      </c>
      <c r="H46" t="s">
        <v>20</v>
      </c>
      <c r="I46">
        <v>36</v>
      </c>
      <c r="J46">
        <v>28</v>
      </c>
      <c r="K46" t="s">
        <v>29</v>
      </c>
      <c r="L46" t="str" cm="1">
        <f t="array" ref="L46">_xlfn.IFS(J46&lt;35,"A1",AND(J46&gt;=35,J46&lt;=45),"A2",J46&gt;45,"A3")</f>
        <v>A1</v>
      </c>
      <c r="M46" s="7">
        <f t="shared" si="0"/>
        <v>285.34848484848487</v>
      </c>
    </row>
    <row r="47" spans="1:13" x14ac:dyDescent="0.3">
      <c r="A47">
        <v>119</v>
      </c>
      <c r="B47" s="2">
        <v>45305</v>
      </c>
      <c r="C47" t="s">
        <v>21</v>
      </c>
      <c r="D47" t="s">
        <v>30</v>
      </c>
      <c r="E47" t="s">
        <v>19</v>
      </c>
      <c r="F47">
        <v>199</v>
      </c>
      <c r="G47">
        <v>56118</v>
      </c>
      <c r="H47" t="s">
        <v>26</v>
      </c>
      <c r="I47">
        <v>32</v>
      </c>
      <c r="J47">
        <v>57</v>
      </c>
      <c r="K47" t="s">
        <v>29</v>
      </c>
      <c r="L47" t="str" cm="1">
        <f t="array" ref="L47">_xlfn.IFS(J47&lt;35,"A1",AND(J47&gt;=35,J47&lt;=45),"A2",J47&gt;45,"A3")</f>
        <v>A3</v>
      </c>
      <c r="M47" s="7">
        <f t="shared" si="0"/>
        <v>282</v>
      </c>
    </row>
    <row r="48" spans="1:13" x14ac:dyDescent="0.3">
      <c r="A48">
        <v>86</v>
      </c>
      <c r="B48" s="2">
        <v>45307</v>
      </c>
      <c r="C48" t="s">
        <v>31</v>
      </c>
      <c r="D48" t="s">
        <v>27</v>
      </c>
      <c r="E48" t="s">
        <v>23</v>
      </c>
      <c r="F48">
        <v>60</v>
      </c>
      <c r="G48">
        <v>5822</v>
      </c>
      <c r="H48" t="s">
        <v>29</v>
      </c>
      <c r="I48">
        <v>33</v>
      </c>
      <c r="J48">
        <v>28</v>
      </c>
      <c r="K48" t="s">
        <v>29</v>
      </c>
      <c r="L48" t="str" cm="1">
        <f t="array" ref="L48">_xlfn.IFS(J48&lt;35,"A1",AND(J48&gt;=35,J48&lt;=45),"A2",J48&gt;45,"A3")</f>
        <v>A1</v>
      </c>
      <c r="M48" s="7">
        <f t="shared" si="0"/>
        <v>97.033333333333331</v>
      </c>
    </row>
    <row r="49" spans="1:13" x14ac:dyDescent="0.3">
      <c r="A49">
        <v>85</v>
      </c>
      <c r="B49" s="2">
        <v>45309</v>
      </c>
      <c r="C49" t="s">
        <v>21</v>
      </c>
      <c r="D49" t="s">
        <v>22</v>
      </c>
      <c r="E49" t="s">
        <v>19</v>
      </c>
      <c r="F49">
        <v>192</v>
      </c>
      <c r="G49">
        <v>18648</v>
      </c>
      <c r="H49" t="s">
        <v>20</v>
      </c>
      <c r="I49">
        <v>31</v>
      </c>
      <c r="J49">
        <v>42</v>
      </c>
      <c r="K49" t="s">
        <v>20</v>
      </c>
      <c r="L49" t="str" cm="1">
        <f t="array" ref="L49">_xlfn.IFS(J49&lt;35,"A1",AND(J49&gt;=35,J49&lt;=45),"A2",J49&gt;45,"A3")</f>
        <v>A2</v>
      </c>
      <c r="M49" s="7">
        <f t="shared" si="0"/>
        <v>97.125</v>
      </c>
    </row>
    <row r="50" spans="1:13" x14ac:dyDescent="0.3">
      <c r="A50">
        <v>16</v>
      </c>
      <c r="B50" s="2">
        <v>45318</v>
      </c>
      <c r="C50" t="s">
        <v>17</v>
      </c>
      <c r="D50" t="s">
        <v>18</v>
      </c>
      <c r="E50" t="s">
        <v>33</v>
      </c>
      <c r="F50">
        <v>193</v>
      </c>
      <c r="G50">
        <v>18796</v>
      </c>
      <c r="H50" t="s">
        <v>29</v>
      </c>
      <c r="I50">
        <v>36</v>
      </c>
      <c r="J50">
        <v>26</v>
      </c>
      <c r="K50" t="s">
        <v>20</v>
      </c>
      <c r="L50" t="str" cm="1">
        <f t="array" ref="L50">_xlfn.IFS(J50&lt;35,"A1",AND(J50&gt;=35,J50&lt;=45),"A2",J50&gt;45,"A3")</f>
        <v>A1</v>
      </c>
      <c r="M50" s="7">
        <f t="shared" si="0"/>
        <v>97.388601036269435</v>
      </c>
    </row>
    <row r="51" spans="1:13" x14ac:dyDescent="0.3">
      <c r="A51">
        <v>92</v>
      </c>
      <c r="B51" s="2">
        <v>45329</v>
      </c>
      <c r="C51" t="s">
        <v>31</v>
      </c>
      <c r="D51" t="s">
        <v>32</v>
      </c>
      <c r="E51" t="s">
        <v>28</v>
      </c>
      <c r="F51">
        <v>214</v>
      </c>
      <c r="G51">
        <v>4984</v>
      </c>
      <c r="H51" t="s">
        <v>29</v>
      </c>
      <c r="I51">
        <v>30</v>
      </c>
      <c r="J51">
        <v>25</v>
      </c>
      <c r="K51" t="s">
        <v>29</v>
      </c>
      <c r="L51" t="str" cm="1">
        <f t="array" ref="L51">_xlfn.IFS(J51&lt;35,"A1",AND(J51&gt;=35,J51&lt;=45),"A2",J51&gt;45,"A3")</f>
        <v>A1</v>
      </c>
      <c r="M51" s="7">
        <f t="shared" si="0"/>
        <v>23.289719626168225</v>
      </c>
    </row>
    <row r="52" spans="1:13" x14ac:dyDescent="0.3">
      <c r="A52">
        <v>87</v>
      </c>
      <c r="B52" s="2">
        <v>45330</v>
      </c>
      <c r="C52" t="s">
        <v>21</v>
      </c>
      <c r="D52" t="s">
        <v>22</v>
      </c>
      <c r="E52" t="s">
        <v>33</v>
      </c>
      <c r="F52">
        <v>209</v>
      </c>
      <c r="G52">
        <v>51221</v>
      </c>
      <c r="H52" t="s">
        <v>20</v>
      </c>
      <c r="I52">
        <v>27</v>
      </c>
      <c r="J52">
        <v>42</v>
      </c>
      <c r="K52" t="s">
        <v>20</v>
      </c>
      <c r="L52" t="str" cm="1">
        <f t="array" ref="L52">_xlfn.IFS(J52&lt;35,"A1",AND(J52&gt;=35,J52&lt;=45),"A2",J52&gt;45,"A3")</f>
        <v>A2</v>
      </c>
      <c r="M52" s="7">
        <f t="shared" si="0"/>
        <v>245.07655502392345</v>
      </c>
    </row>
    <row r="53" spans="1:13" x14ac:dyDescent="0.3">
      <c r="A53">
        <v>11</v>
      </c>
      <c r="B53" s="2">
        <v>45335</v>
      </c>
      <c r="C53" t="s">
        <v>21</v>
      </c>
      <c r="D53" t="s">
        <v>25</v>
      </c>
      <c r="E53" t="s">
        <v>28</v>
      </c>
      <c r="F53">
        <v>494</v>
      </c>
      <c r="G53">
        <v>46767</v>
      </c>
      <c r="H53" t="s">
        <v>20</v>
      </c>
      <c r="I53">
        <v>32</v>
      </c>
      <c r="J53">
        <v>25</v>
      </c>
      <c r="K53" t="s">
        <v>20</v>
      </c>
      <c r="L53" t="str" cm="1">
        <f t="array" ref="L53">_xlfn.IFS(J53&lt;35,"A1",AND(J53&gt;=35,J53&lt;=45),"A2",J53&gt;45,"A3")</f>
        <v>A1</v>
      </c>
      <c r="M53" s="7">
        <f t="shared" si="0"/>
        <v>94.670040485829958</v>
      </c>
    </row>
    <row r="54" spans="1:13" x14ac:dyDescent="0.3">
      <c r="A54">
        <v>81</v>
      </c>
      <c r="B54" s="2">
        <v>45335</v>
      </c>
      <c r="C54" t="s">
        <v>34</v>
      </c>
      <c r="D54" t="s">
        <v>22</v>
      </c>
      <c r="E54" t="s">
        <v>23</v>
      </c>
      <c r="F54">
        <v>32</v>
      </c>
      <c r="G54">
        <v>3132</v>
      </c>
      <c r="H54" t="s">
        <v>29</v>
      </c>
      <c r="I54">
        <v>27</v>
      </c>
      <c r="J54">
        <v>42</v>
      </c>
      <c r="K54" t="s">
        <v>20</v>
      </c>
      <c r="L54" t="str" cm="1">
        <f t="array" ref="L54">_xlfn.IFS(J54&lt;35,"A1",AND(J54&gt;=35,J54&lt;=45),"A2",J54&gt;45,"A3")</f>
        <v>A2</v>
      </c>
      <c r="M54" s="7">
        <f t="shared" si="0"/>
        <v>97.875</v>
      </c>
    </row>
    <row r="55" spans="1:13" x14ac:dyDescent="0.3">
      <c r="A55">
        <v>29</v>
      </c>
      <c r="B55" s="2">
        <v>45339</v>
      </c>
      <c r="C55" t="s">
        <v>21</v>
      </c>
      <c r="D55" t="s">
        <v>22</v>
      </c>
      <c r="E55" t="s">
        <v>19</v>
      </c>
      <c r="F55">
        <v>499</v>
      </c>
      <c r="G55">
        <v>48316</v>
      </c>
      <c r="H55" t="s">
        <v>20</v>
      </c>
      <c r="I55">
        <v>28</v>
      </c>
      <c r="J55">
        <v>42</v>
      </c>
      <c r="K55" t="s">
        <v>20</v>
      </c>
      <c r="L55" t="str" cm="1">
        <f t="array" ref="L55">_xlfn.IFS(J55&lt;35,"A1",AND(J55&gt;=35,J55&lt;=45),"A2",J55&gt;45,"A3")</f>
        <v>A2</v>
      </c>
      <c r="M55" s="7">
        <f t="shared" si="0"/>
        <v>96.825651302605209</v>
      </c>
    </row>
    <row r="56" spans="1:13" x14ac:dyDescent="0.3">
      <c r="A56">
        <v>96</v>
      </c>
      <c r="B56" s="2">
        <v>45347</v>
      </c>
      <c r="C56" t="s">
        <v>17</v>
      </c>
      <c r="D56" t="s">
        <v>27</v>
      </c>
      <c r="E56" t="s">
        <v>23</v>
      </c>
      <c r="F56">
        <v>128</v>
      </c>
      <c r="G56">
        <v>35088</v>
      </c>
      <c r="H56" t="s">
        <v>29</v>
      </c>
      <c r="I56">
        <v>36</v>
      </c>
      <c r="J56">
        <v>28</v>
      </c>
      <c r="K56" t="s">
        <v>29</v>
      </c>
      <c r="L56" t="str" cm="1">
        <f t="array" ref="L56">_xlfn.IFS(J56&lt;35,"A1",AND(J56&gt;=35,J56&lt;=45),"A2",J56&gt;45,"A3")</f>
        <v>A1</v>
      </c>
      <c r="M56" s="7">
        <f t="shared" si="0"/>
        <v>274.125</v>
      </c>
    </row>
    <row r="57" spans="1:13" x14ac:dyDescent="0.3">
      <c r="A57">
        <v>89</v>
      </c>
      <c r="B57" s="2">
        <v>45348</v>
      </c>
      <c r="C57" t="s">
        <v>21</v>
      </c>
      <c r="D57" t="s">
        <v>18</v>
      </c>
      <c r="E57" t="s">
        <v>19</v>
      </c>
      <c r="F57">
        <v>97</v>
      </c>
      <c r="G57">
        <v>679</v>
      </c>
      <c r="H57" t="s">
        <v>20</v>
      </c>
      <c r="I57">
        <v>31</v>
      </c>
      <c r="J57">
        <v>26</v>
      </c>
      <c r="K57" t="s">
        <v>20</v>
      </c>
      <c r="L57" t="str" cm="1">
        <f t="array" ref="L57">_xlfn.IFS(J57&lt;35,"A1",AND(J57&gt;=35,J57&lt;=45),"A2",J57&gt;45,"A3")</f>
        <v>A1</v>
      </c>
      <c r="M57" s="7">
        <f t="shared" si="0"/>
        <v>7</v>
      </c>
    </row>
    <row r="58" spans="1:13" x14ac:dyDescent="0.3">
      <c r="A58">
        <v>68</v>
      </c>
      <c r="B58" s="2">
        <v>45350</v>
      </c>
      <c r="C58" t="s">
        <v>31</v>
      </c>
      <c r="D58" t="s">
        <v>36</v>
      </c>
      <c r="E58" t="s">
        <v>23</v>
      </c>
      <c r="F58">
        <v>308</v>
      </c>
      <c r="G58">
        <v>27956</v>
      </c>
      <c r="H58" t="s">
        <v>26</v>
      </c>
      <c r="I58">
        <v>39</v>
      </c>
      <c r="J58">
        <v>49</v>
      </c>
      <c r="K58" t="s">
        <v>29</v>
      </c>
      <c r="L58" t="str" cm="1">
        <f t="array" ref="L58">_xlfn.IFS(J58&lt;35,"A1",AND(J58&gt;=35,J58&lt;=45),"A2",J58&gt;45,"A3")</f>
        <v>A3</v>
      </c>
      <c r="M58" s="7">
        <f t="shared" si="0"/>
        <v>90.766233766233768</v>
      </c>
    </row>
    <row r="59" spans="1:13" x14ac:dyDescent="0.3">
      <c r="A59">
        <v>71</v>
      </c>
      <c r="B59" s="2">
        <v>45350</v>
      </c>
      <c r="C59" t="s">
        <v>17</v>
      </c>
      <c r="D59" t="s">
        <v>36</v>
      </c>
      <c r="E59" t="s">
        <v>33</v>
      </c>
      <c r="F59">
        <v>95</v>
      </c>
      <c r="G59">
        <v>46800</v>
      </c>
      <c r="H59" t="s">
        <v>29</v>
      </c>
      <c r="I59">
        <v>28</v>
      </c>
      <c r="J59">
        <v>49</v>
      </c>
      <c r="K59" t="s">
        <v>29</v>
      </c>
      <c r="L59" t="str" cm="1">
        <f t="array" ref="L59">_xlfn.IFS(J59&lt;35,"A1",AND(J59&gt;=35,J59&lt;=45),"A2",J59&gt;45,"A3")</f>
        <v>A3</v>
      </c>
      <c r="M59" s="7">
        <f t="shared" si="0"/>
        <v>492.63157894736844</v>
      </c>
    </row>
    <row r="60" spans="1:13" x14ac:dyDescent="0.3">
      <c r="A60">
        <v>6</v>
      </c>
      <c r="B60" s="2">
        <v>45350</v>
      </c>
      <c r="C60" t="s">
        <v>21</v>
      </c>
      <c r="D60" t="s">
        <v>18</v>
      </c>
      <c r="E60" t="s">
        <v>28</v>
      </c>
      <c r="F60">
        <v>401</v>
      </c>
      <c r="G60">
        <v>19691</v>
      </c>
      <c r="H60" t="s">
        <v>29</v>
      </c>
      <c r="I60">
        <v>37</v>
      </c>
      <c r="J60">
        <v>26</v>
      </c>
      <c r="K60" t="s">
        <v>20</v>
      </c>
      <c r="L60" t="str" cm="1">
        <f t="array" ref="L60">_xlfn.IFS(J60&lt;35,"A1",AND(J60&gt;=35,J60&lt;=45),"A2",J60&gt;45,"A3")</f>
        <v>A1</v>
      </c>
      <c r="M60" s="7">
        <f t="shared" si="0"/>
        <v>49.104738154613464</v>
      </c>
    </row>
    <row r="61" spans="1:13" x14ac:dyDescent="0.3">
      <c r="A61">
        <v>49</v>
      </c>
      <c r="B61" s="2">
        <v>45350</v>
      </c>
      <c r="C61" t="s">
        <v>31</v>
      </c>
      <c r="D61" t="s">
        <v>18</v>
      </c>
      <c r="E61" t="s">
        <v>28</v>
      </c>
      <c r="F61">
        <v>74</v>
      </c>
      <c r="G61">
        <v>36708</v>
      </c>
      <c r="H61" t="s">
        <v>29</v>
      </c>
      <c r="I61">
        <v>32</v>
      </c>
      <c r="J61">
        <v>26</v>
      </c>
      <c r="K61" t="s">
        <v>20</v>
      </c>
      <c r="L61" t="str" cm="1">
        <f t="array" ref="L61">_xlfn.IFS(J61&lt;35,"A1",AND(J61&gt;=35,J61&lt;=45),"A2",J61&gt;45,"A3")</f>
        <v>A1</v>
      </c>
      <c r="M61" s="7">
        <f t="shared" si="0"/>
        <v>496.05405405405406</v>
      </c>
    </row>
    <row r="62" spans="1:13" x14ac:dyDescent="0.3">
      <c r="A62">
        <v>62</v>
      </c>
      <c r="B62" s="2">
        <v>45350</v>
      </c>
      <c r="C62" t="s">
        <v>21</v>
      </c>
      <c r="D62" t="s">
        <v>30</v>
      </c>
      <c r="E62" t="s">
        <v>28</v>
      </c>
      <c r="F62">
        <v>535</v>
      </c>
      <c r="G62">
        <v>44330</v>
      </c>
      <c r="H62" t="s">
        <v>29</v>
      </c>
      <c r="I62">
        <v>32</v>
      </c>
      <c r="J62">
        <v>57</v>
      </c>
      <c r="K62" t="s">
        <v>29</v>
      </c>
      <c r="L62" t="str" cm="1">
        <f t="array" ref="L62">_xlfn.IFS(J62&lt;35,"A1",AND(J62&gt;=35,J62&lt;=45),"A2",J62&gt;45,"A3")</f>
        <v>A3</v>
      </c>
      <c r="M62" s="7">
        <f t="shared" si="0"/>
        <v>82.859813084112147</v>
      </c>
    </row>
    <row r="63" spans="1:13" x14ac:dyDescent="0.3">
      <c r="A63">
        <v>80</v>
      </c>
      <c r="B63" s="2">
        <v>45350</v>
      </c>
      <c r="C63" t="s">
        <v>31</v>
      </c>
      <c r="D63" t="s">
        <v>30</v>
      </c>
      <c r="E63" t="s">
        <v>28</v>
      </c>
      <c r="F63">
        <v>380</v>
      </c>
      <c r="G63">
        <v>44525</v>
      </c>
      <c r="H63" t="s">
        <v>26</v>
      </c>
      <c r="I63">
        <v>35</v>
      </c>
      <c r="J63">
        <v>57</v>
      </c>
      <c r="K63" t="s">
        <v>29</v>
      </c>
      <c r="L63" t="str" cm="1">
        <f t="array" ref="L63">_xlfn.IFS(J63&lt;35,"A1",AND(J63&gt;=35,J63&lt;=45),"A2",J63&gt;45,"A3")</f>
        <v>A3</v>
      </c>
      <c r="M63" s="7">
        <f t="shared" si="0"/>
        <v>117.17105263157895</v>
      </c>
    </row>
    <row r="64" spans="1:13" x14ac:dyDescent="0.3">
      <c r="A64">
        <v>52</v>
      </c>
      <c r="B64" s="2">
        <v>45350</v>
      </c>
      <c r="C64" t="s">
        <v>31</v>
      </c>
      <c r="D64" t="s">
        <v>22</v>
      </c>
      <c r="E64" t="s">
        <v>28</v>
      </c>
      <c r="F64">
        <v>343</v>
      </c>
      <c r="G64">
        <v>33344</v>
      </c>
      <c r="H64" t="s">
        <v>29</v>
      </c>
      <c r="I64">
        <v>28</v>
      </c>
      <c r="J64">
        <v>42</v>
      </c>
      <c r="K64" t="s">
        <v>20</v>
      </c>
      <c r="L64" t="str" cm="1">
        <f t="array" ref="L64">_xlfn.IFS(J64&lt;35,"A1",AND(J64&gt;=35,J64&lt;=45),"A2",J64&gt;45,"A3")</f>
        <v>A2</v>
      </c>
      <c r="M64" s="7">
        <f t="shared" si="0"/>
        <v>97.212827988338191</v>
      </c>
    </row>
    <row r="65" spans="1:13" x14ac:dyDescent="0.3">
      <c r="A65">
        <v>105</v>
      </c>
      <c r="B65" s="2">
        <v>45350</v>
      </c>
      <c r="C65" t="s">
        <v>17</v>
      </c>
      <c r="D65" t="s">
        <v>22</v>
      </c>
      <c r="E65" t="s">
        <v>28</v>
      </c>
      <c r="F65">
        <v>318</v>
      </c>
      <c r="G65">
        <v>16864</v>
      </c>
      <c r="H65" t="s">
        <v>29</v>
      </c>
      <c r="I65">
        <v>28</v>
      </c>
      <c r="J65">
        <v>42</v>
      </c>
      <c r="K65" t="s">
        <v>20</v>
      </c>
      <c r="L65" t="str" cm="1">
        <f t="array" ref="L65">_xlfn.IFS(J65&lt;35,"A1",AND(J65&gt;=35,J65&lt;=45),"A2",J65&gt;45,"A3")</f>
        <v>A2</v>
      </c>
      <c r="M65" s="7">
        <f t="shared" si="0"/>
        <v>53.031446540880502</v>
      </c>
    </row>
    <row r="66" spans="1:13" x14ac:dyDescent="0.3">
      <c r="A66">
        <v>72</v>
      </c>
      <c r="B66" s="2">
        <v>45356</v>
      </c>
      <c r="C66" t="s">
        <v>17</v>
      </c>
      <c r="D66" t="s">
        <v>22</v>
      </c>
      <c r="E66" t="s">
        <v>33</v>
      </c>
      <c r="F66">
        <v>218</v>
      </c>
      <c r="G66">
        <v>7125</v>
      </c>
      <c r="H66" t="s">
        <v>29</v>
      </c>
      <c r="I66">
        <v>29</v>
      </c>
      <c r="J66">
        <v>42</v>
      </c>
      <c r="K66" t="s">
        <v>20</v>
      </c>
      <c r="L66" t="str" cm="1">
        <f t="array" ref="L66">_xlfn.IFS(J66&lt;35,"A1",AND(J66&gt;=35,J66&lt;=45),"A2",J66&gt;45,"A3")</f>
        <v>A2</v>
      </c>
      <c r="M66" s="7">
        <f t="shared" si="0"/>
        <v>32.683486238532112</v>
      </c>
    </row>
    <row r="67" spans="1:13" x14ac:dyDescent="0.3">
      <c r="A67">
        <v>75</v>
      </c>
      <c r="B67" s="2">
        <v>45357</v>
      </c>
      <c r="C67" t="s">
        <v>21</v>
      </c>
      <c r="D67" t="s">
        <v>35</v>
      </c>
      <c r="E67" t="s">
        <v>23</v>
      </c>
      <c r="F67">
        <v>128</v>
      </c>
      <c r="G67">
        <v>679</v>
      </c>
      <c r="H67" t="s">
        <v>29</v>
      </c>
      <c r="I67">
        <v>27</v>
      </c>
      <c r="J67">
        <v>28</v>
      </c>
      <c r="K67" t="s">
        <v>29</v>
      </c>
      <c r="L67" t="str" cm="1">
        <f t="array" ref="L67">_xlfn.IFS(J67&lt;35,"A1",AND(J67&gt;=35,J67&lt;=45),"A2",J67&gt;45,"A3")</f>
        <v>A1</v>
      </c>
      <c r="M67" s="7">
        <f t="shared" ref="M67:M121" si="1">G67/F67</f>
        <v>5.3046875</v>
      </c>
    </row>
    <row r="68" spans="1:13" x14ac:dyDescent="0.3">
      <c r="A68">
        <v>120</v>
      </c>
      <c r="B68" s="2">
        <v>45361</v>
      </c>
      <c r="C68" t="s">
        <v>34</v>
      </c>
      <c r="D68" t="s">
        <v>37</v>
      </c>
      <c r="E68" t="s">
        <v>23</v>
      </c>
      <c r="F68">
        <v>497</v>
      </c>
      <c r="G68">
        <v>46548</v>
      </c>
      <c r="H68" t="s">
        <v>20</v>
      </c>
      <c r="I68">
        <v>36</v>
      </c>
      <c r="J68">
        <v>36</v>
      </c>
      <c r="K68" t="s">
        <v>20</v>
      </c>
      <c r="L68" t="str" cm="1">
        <f t="array" ref="L68">_xlfn.IFS(J68&lt;35,"A1",AND(J68&gt;=35,J68&lt;=45),"A2",J68&gt;45,"A3")</f>
        <v>A2</v>
      </c>
      <c r="M68" s="7">
        <f t="shared" si="1"/>
        <v>93.6579476861167</v>
      </c>
    </row>
    <row r="69" spans="1:13" x14ac:dyDescent="0.3">
      <c r="A69">
        <v>51</v>
      </c>
      <c r="B69" s="2">
        <v>45364</v>
      </c>
      <c r="C69" t="s">
        <v>31</v>
      </c>
      <c r="D69" t="s">
        <v>30</v>
      </c>
      <c r="E69" t="s">
        <v>28</v>
      </c>
      <c r="F69">
        <v>358</v>
      </c>
      <c r="G69">
        <v>13568</v>
      </c>
      <c r="H69" t="s">
        <v>20</v>
      </c>
      <c r="I69">
        <v>35</v>
      </c>
      <c r="J69">
        <v>57</v>
      </c>
      <c r="K69" t="s">
        <v>29</v>
      </c>
      <c r="L69" t="str" cm="1">
        <f t="array" ref="L69">_xlfn.IFS(J69&lt;35,"A1",AND(J69&gt;=35,J69&lt;=45),"A2",J69&gt;45,"A3")</f>
        <v>A3</v>
      </c>
      <c r="M69" s="7">
        <f t="shared" si="1"/>
        <v>37.899441340782126</v>
      </c>
    </row>
    <row r="70" spans="1:13" x14ac:dyDescent="0.3">
      <c r="A70">
        <v>84</v>
      </c>
      <c r="B70" s="2">
        <v>45369</v>
      </c>
      <c r="C70" t="s">
        <v>21</v>
      </c>
      <c r="D70" t="s">
        <v>27</v>
      </c>
      <c r="E70" t="s">
        <v>19</v>
      </c>
      <c r="F70">
        <v>84</v>
      </c>
      <c r="G70">
        <v>10688</v>
      </c>
      <c r="H70" t="s">
        <v>20</v>
      </c>
      <c r="I70">
        <v>27</v>
      </c>
      <c r="J70">
        <v>28</v>
      </c>
      <c r="K70" t="s">
        <v>29</v>
      </c>
      <c r="L70" t="str" cm="1">
        <f t="array" ref="L70">_xlfn.IFS(J70&lt;35,"A1",AND(J70&gt;=35,J70&lt;=45),"A2",J70&gt;45,"A3")</f>
        <v>A1</v>
      </c>
      <c r="M70" s="7">
        <f t="shared" si="1"/>
        <v>127.23809523809524</v>
      </c>
    </row>
    <row r="71" spans="1:13" x14ac:dyDescent="0.3">
      <c r="A71">
        <v>113</v>
      </c>
      <c r="B71" s="2">
        <v>45370</v>
      </c>
      <c r="C71" t="s">
        <v>34</v>
      </c>
      <c r="D71" t="s">
        <v>18</v>
      </c>
      <c r="E71" t="s">
        <v>23</v>
      </c>
      <c r="F71">
        <v>81</v>
      </c>
      <c r="G71">
        <v>31414</v>
      </c>
      <c r="H71" t="s">
        <v>20</v>
      </c>
      <c r="I71">
        <v>36</v>
      </c>
      <c r="J71">
        <v>26</v>
      </c>
      <c r="K71" t="s">
        <v>20</v>
      </c>
      <c r="L71" t="str" cm="1">
        <f t="array" ref="L71">_xlfn.IFS(J71&lt;35,"A1",AND(J71&gt;=35,J71&lt;=45),"A2",J71&gt;45,"A3")</f>
        <v>A1</v>
      </c>
      <c r="M71" s="7">
        <f t="shared" si="1"/>
        <v>387.82716049382714</v>
      </c>
    </row>
    <row r="72" spans="1:13" x14ac:dyDescent="0.3">
      <c r="A72">
        <v>32</v>
      </c>
      <c r="B72" s="2">
        <v>45371</v>
      </c>
      <c r="C72" t="s">
        <v>34</v>
      </c>
      <c r="D72" t="s">
        <v>22</v>
      </c>
      <c r="E72" t="s">
        <v>23</v>
      </c>
      <c r="F72">
        <v>389</v>
      </c>
      <c r="G72">
        <v>37744</v>
      </c>
      <c r="H72" t="s">
        <v>29</v>
      </c>
      <c r="I72">
        <v>27</v>
      </c>
      <c r="J72">
        <v>42</v>
      </c>
      <c r="K72" t="s">
        <v>20</v>
      </c>
      <c r="L72" t="str" cm="1">
        <f t="array" ref="L72">_xlfn.IFS(J72&lt;35,"A1",AND(J72&gt;=35,J72&lt;=45),"A2",J72&gt;45,"A3")</f>
        <v>A2</v>
      </c>
      <c r="M72" s="7">
        <f t="shared" si="1"/>
        <v>97.028277634961441</v>
      </c>
    </row>
    <row r="73" spans="1:13" x14ac:dyDescent="0.3">
      <c r="A73">
        <v>60</v>
      </c>
      <c r="B73" s="2">
        <v>45372</v>
      </c>
      <c r="C73" t="s">
        <v>17</v>
      </c>
      <c r="D73" t="s">
        <v>32</v>
      </c>
      <c r="E73" t="s">
        <v>28</v>
      </c>
      <c r="F73">
        <v>178</v>
      </c>
      <c r="G73">
        <v>679</v>
      </c>
      <c r="H73" t="s">
        <v>29</v>
      </c>
      <c r="I73">
        <v>28</v>
      </c>
      <c r="J73">
        <v>25</v>
      </c>
      <c r="K73" t="s">
        <v>29</v>
      </c>
      <c r="L73" t="str" cm="1">
        <f t="array" ref="L73">_xlfn.IFS(J73&lt;35,"A1",AND(J73&gt;=35,J73&lt;=45),"A2",J73&gt;45,"A3")</f>
        <v>A1</v>
      </c>
      <c r="M73" s="7">
        <f t="shared" si="1"/>
        <v>3.8146067415730336</v>
      </c>
    </row>
    <row r="74" spans="1:13" x14ac:dyDescent="0.3">
      <c r="A74">
        <v>117</v>
      </c>
      <c r="B74" s="2">
        <v>45374</v>
      </c>
      <c r="C74" t="s">
        <v>17</v>
      </c>
      <c r="D74" t="s">
        <v>18</v>
      </c>
      <c r="E74" t="s">
        <v>19</v>
      </c>
      <c r="F74">
        <v>527</v>
      </c>
      <c r="G74">
        <v>51168</v>
      </c>
      <c r="H74" t="s">
        <v>29</v>
      </c>
      <c r="I74">
        <v>39</v>
      </c>
      <c r="J74">
        <v>26</v>
      </c>
      <c r="K74" t="s">
        <v>20</v>
      </c>
      <c r="L74" t="str" cm="1">
        <f t="array" ref="L74">_xlfn.IFS(J74&lt;35,"A1",AND(J74&gt;=35,J74&lt;=45),"A2",J74&gt;45,"A3")</f>
        <v>A1</v>
      </c>
      <c r="M74" s="7">
        <f t="shared" si="1"/>
        <v>97.092979127134726</v>
      </c>
    </row>
    <row r="75" spans="1:13" x14ac:dyDescent="0.3">
      <c r="A75">
        <v>37</v>
      </c>
      <c r="B75" s="2">
        <v>45377</v>
      </c>
      <c r="C75" t="s">
        <v>17</v>
      </c>
      <c r="D75" t="s">
        <v>36</v>
      </c>
      <c r="E75" t="s">
        <v>23</v>
      </c>
      <c r="F75">
        <v>145</v>
      </c>
      <c r="G75">
        <v>43615</v>
      </c>
      <c r="H75" t="s">
        <v>29</v>
      </c>
      <c r="I75">
        <v>39</v>
      </c>
      <c r="J75">
        <v>49</v>
      </c>
      <c r="K75" t="s">
        <v>29</v>
      </c>
      <c r="L75" t="str" cm="1">
        <f t="array" ref="L75">_xlfn.IFS(J75&lt;35,"A1",AND(J75&gt;=35,J75&lt;=45),"A2",J75&gt;45,"A3")</f>
        <v>A3</v>
      </c>
      <c r="M75" s="7">
        <f t="shared" si="1"/>
        <v>300.79310344827587</v>
      </c>
    </row>
    <row r="76" spans="1:13" x14ac:dyDescent="0.3">
      <c r="A76">
        <v>65</v>
      </c>
      <c r="B76" s="2">
        <v>45378</v>
      </c>
      <c r="C76" t="s">
        <v>34</v>
      </c>
      <c r="D76" t="s">
        <v>22</v>
      </c>
      <c r="E76" t="s">
        <v>23</v>
      </c>
      <c r="F76">
        <v>495</v>
      </c>
      <c r="G76">
        <v>679</v>
      </c>
      <c r="H76" t="s">
        <v>29</v>
      </c>
      <c r="I76">
        <v>38</v>
      </c>
      <c r="J76">
        <v>42</v>
      </c>
      <c r="K76" t="s">
        <v>20</v>
      </c>
      <c r="L76" t="str" cm="1">
        <f t="array" ref="L76">_xlfn.IFS(J76&lt;35,"A1",AND(J76&gt;=35,J76&lt;=45),"A2",J76&gt;45,"A3")</f>
        <v>A2</v>
      </c>
      <c r="M76" s="7">
        <f t="shared" si="1"/>
        <v>1.3717171717171717</v>
      </c>
    </row>
    <row r="77" spans="1:13" x14ac:dyDescent="0.3">
      <c r="A77">
        <v>1</v>
      </c>
      <c r="B77" s="2">
        <v>45380</v>
      </c>
      <c r="C77" t="s">
        <v>31</v>
      </c>
      <c r="D77" t="s">
        <v>32</v>
      </c>
      <c r="E77" t="s">
        <v>23</v>
      </c>
      <c r="F77">
        <v>412</v>
      </c>
      <c r="G77">
        <v>22288</v>
      </c>
      <c r="H77" t="s">
        <v>20</v>
      </c>
      <c r="I77">
        <v>27</v>
      </c>
      <c r="J77">
        <v>25</v>
      </c>
      <c r="K77" t="s">
        <v>29</v>
      </c>
      <c r="L77" t="str" cm="1">
        <f t="array" ref="L77">_xlfn.IFS(J77&lt;35,"A1",AND(J77&gt;=35,J77&lt;=45),"A2",J77&gt;45,"A3")</f>
        <v>A1</v>
      </c>
      <c r="M77" s="7">
        <f t="shared" si="1"/>
        <v>54.097087378640779</v>
      </c>
    </row>
    <row r="78" spans="1:13" x14ac:dyDescent="0.3">
      <c r="A78">
        <v>18</v>
      </c>
      <c r="B78" s="2">
        <v>45381</v>
      </c>
      <c r="C78" t="s">
        <v>21</v>
      </c>
      <c r="D78" t="s">
        <v>36</v>
      </c>
      <c r="E78" t="s">
        <v>23</v>
      </c>
      <c r="F78">
        <v>363</v>
      </c>
      <c r="G78">
        <v>38232</v>
      </c>
      <c r="H78" t="s">
        <v>20</v>
      </c>
      <c r="I78">
        <v>27</v>
      </c>
      <c r="J78">
        <v>49</v>
      </c>
      <c r="K78" t="s">
        <v>29</v>
      </c>
      <c r="L78" t="str" cm="1">
        <f t="array" ref="L78">_xlfn.IFS(J78&lt;35,"A1",AND(J78&gt;=35,J78&lt;=45),"A2",J78&gt;45,"A3")</f>
        <v>A3</v>
      </c>
      <c r="M78" s="7">
        <f t="shared" si="1"/>
        <v>105.32231404958678</v>
      </c>
    </row>
    <row r="79" spans="1:13" x14ac:dyDescent="0.3">
      <c r="A79">
        <v>110</v>
      </c>
      <c r="B79" s="2">
        <v>45383</v>
      </c>
      <c r="C79" t="s">
        <v>21</v>
      </c>
      <c r="D79" t="s">
        <v>24</v>
      </c>
      <c r="E79" t="s">
        <v>28</v>
      </c>
      <c r="F79">
        <v>155</v>
      </c>
      <c r="G79">
        <v>11092</v>
      </c>
      <c r="H79" t="s">
        <v>20</v>
      </c>
      <c r="I79">
        <v>32</v>
      </c>
      <c r="J79">
        <v>52</v>
      </c>
      <c r="K79" t="s">
        <v>20</v>
      </c>
      <c r="L79" t="str" cm="1">
        <f t="array" ref="L79">_xlfn.IFS(J79&lt;35,"A1",AND(J79&gt;=35,J79&lt;=45),"A2",J79&gt;45,"A3")</f>
        <v>A3</v>
      </c>
      <c r="M79" s="7">
        <f t="shared" si="1"/>
        <v>71.561290322580646</v>
      </c>
    </row>
    <row r="80" spans="1:13" x14ac:dyDescent="0.3">
      <c r="A80">
        <v>66</v>
      </c>
      <c r="B80" s="2">
        <v>45390</v>
      </c>
      <c r="C80" t="s">
        <v>21</v>
      </c>
      <c r="D80" t="s">
        <v>27</v>
      </c>
      <c r="E80" t="s">
        <v>19</v>
      </c>
      <c r="F80">
        <v>190</v>
      </c>
      <c r="G80">
        <v>28050</v>
      </c>
      <c r="H80" t="s">
        <v>20</v>
      </c>
      <c r="I80">
        <v>31</v>
      </c>
      <c r="J80">
        <v>28</v>
      </c>
      <c r="K80" t="s">
        <v>29</v>
      </c>
      <c r="L80" t="str" cm="1">
        <f t="array" ref="L80">_xlfn.IFS(J80&lt;35,"A1",AND(J80&gt;=35,J80&lt;=45),"A2",J80&gt;45,"A3")</f>
        <v>A1</v>
      </c>
      <c r="M80" s="7">
        <f t="shared" si="1"/>
        <v>147.63157894736841</v>
      </c>
    </row>
    <row r="81" spans="1:13" x14ac:dyDescent="0.3">
      <c r="A81">
        <v>106</v>
      </c>
      <c r="B81" s="2">
        <v>45392</v>
      </c>
      <c r="C81" t="s">
        <v>31</v>
      </c>
      <c r="D81" t="s">
        <v>22</v>
      </c>
      <c r="E81" t="s">
        <v>23</v>
      </c>
      <c r="F81">
        <v>51</v>
      </c>
      <c r="G81">
        <v>56888</v>
      </c>
      <c r="H81" t="s">
        <v>20</v>
      </c>
      <c r="I81">
        <v>31</v>
      </c>
      <c r="J81">
        <v>42</v>
      </c>
      <c r="K81" t="s">
        <v>20</v>
      </c>
      <c r="L81" t="str" cm="1">
        <f t="array" ref="L81">_xlfn.IFS(J81&lt;35,"A1",AND(J81&gt;=35,J81&lt;=45),"A2",J81&gt;45,"A3")</f>
        <v>A2</v>
      </c>
      <c r="M81" s="7">
        <f t="shared" si="1"/>
        <v>1115.4509803921569</v>
      </c>
    </row>
    <row r="82" spans="1:13" x14ac:dyDescent="0.3">
      <c r="A82">
        <v>15</v>
      </c>
      <c r="B82" s="2">
        <v>45398</v>
      </c>
      <c r="C82" t="s">
        <v>17</v>
      </c>
      <c r="D82" t="s">
        <v>22</v>
      </c>
      <c r="E82" t="s">
        <v>23</v>
      </c>
      <c r="F82">
        <v>383</v>
      </c>
      <c r="G82">
        <v>39008</v>
      </c>
      <c r="H82" t="s">
        <v>26</v>
      </c>
      <c r="I82">
        <v>28</v>
      </c>
      <c r="J82">
        <v>42</v>
      </c>
      <c r="K82" t="s">
        <v>20</v>
      </c>
      <c r="L82" t="str" cm="1">
        <f t="array" ref="L82">_xlfn.IFS(J82&lt;35,"A1",AND(J82&gt;=35,J82&lt;=45),"A2",J82&gt;45,"A3")</f>
        <v>A2</v>
      </c>
      <c r="M82" s="7">
        <f t="shared" si="1"/>
        <v>101.8485639686684</v>
      </c>
    </row>
    <row r="83" spans="1:13" x14ac:dyDescent="0.3">
      <c r="A83">
        <v>41</v>
      </c>
      <c r="B83" s="2">
        <v>45407</v>
      </c>
      <c r="C83" t="s">
        <v>21</v>
      </c>
      <c r="D83" t="s">
        <v>22</v>
      </c>
      <c r="E83" t="s">
        <v>33</v>
      </c>
      <c r="F83">
        <v>51</v>
      </c>
      <c r="G83">
        <v>35280</v>
      </c>
      <c r="H83" t="s">
        <v>29</v>
      </c>
      <c r="I83">
        <v>28</v>
      </c>
      <c r="J83">
        <v>42</v>
      </c>
      <c r="K83" t="s">
        <v>20</v>
      </c>
      <c r="L83" t="str" cm="1">
        <f t="array" ref="L83">_xlfn.IFS(J83&lt;35,"A1",AND(J83&gt;=35,J83&lt;=45),"A2",J83&gt;45,"A3")</f>
        <v>A2</v>
      </c>
      <c r="M83" s="7">
        <f t="shared" si="1"/>
        <v>691.76470588235293</v>
      </c>
    </row>
    <row r="84" spans="1:13" x14ac:dyDescent="0.3">
      <c r="A84">
        <v>12</v>
      </c>
      <c r="B84" s="2">
        <v>45410</v>
      </c>
      <c r="C84" t="s">
        <v>21</v>
      </c>
      <c r="D84" t="s">
        <v>25</v>
      </c>
      <c r="E84" t="s">
        <v>23</v>
      </c>
      <c r="F84">
        <v>462</v>
      </c>
      <c r="G84">
        <v>26145</v>
      </c>
      <c r="H84" t="s">
        <v>26</v>
      </c>
      <c r="I84">
        <v>33</v>
      </c>
      <c r="J84">
        <v>25</v>
      </c>
      <c r="K84" t="s">
        <v>20</v>
      </c>
      <c r="L84" t="str" cm="1">
        <f t="array" ref="L84">_xlfn.IFS(J84&lt;35,"A1",AND(J84&gt;=35,J84&lt;=45),"A2",J84&gt;45,"A3")</f>
        <v>A1</v>
      </c>
      <c r="M84" s="7">
        <f t="shared" si="1"/>
        <v>56.590909090909093</v>
      </c>
    </row>
    <row r="85" spans="1:13" x14ac:dyDescent="0.3">
      <c r="A85">
        <v>107</v>
      </c>
      <c r="B85" s="2">
        <v>45412</v>
      </c>
      <c r="C85" t="s">
        <v>34</v>
      </c>
      <c r="D85" t="s">
        <v>27</v>
      </c>
      <c r="E85" t="s">
        <v>28</v>
      </c>
      <c r="F85">
        <v>236</v>
      </c>
      <c r="G85">
        <v>679</v>
      </c>
      <c r="H85" t="s">
        <v>26</v>
      </c>
      <c r="I85">
        <v>36</v>
      </c>
      <c r="J85">
        <v>28</v>
      </c>
      <c r="K85" t="s">
        <v>29</v>
      </c>
      <c r="L85" t="str" cm="1">
        <f t="array" ref="L85">_xlfn.IFS(J85&lt;35,"A1",AND(J85&gt;=35,J85&lt;=45),"A2",J85&gt;45,"A3")</f>
        <v>A1</v>
      </c>
      <c r="M85" s="7">
        <f t="shared" si="1"/>
        <v>2.8771186440677967</v>
      </c>
    </row>
    <row r="86" spans="1:13" x14ac:dyDescent="0.3">
      <c r="A86">
        <v>2</v>
      </c>
      <c r="B86" s="2">
        <v>45420</v>
      </c>
      <c r="C86" t="s">
        <v>21</v>
      </c>
      <c r="D86" t="s">
        <v>24</v>
      </c>
      <c r="E86" t="s">
        <v>33</v>
      </c>
      <c r="F86">
        <v>430</v>
      </c>
      <c r="G86">
        <v>66500</v>
      </c>
      <c r="H86" t="s">
        <v>20</v>
      </c>
      <c r="I86">
        <v>37</v>
      </c>
      <c r="J86">
        <v>52</v>
      </c>
      <c r="K86" t="s">
        <v>20</v>
      </c>
      <c r="L86" t="str" cm="1">
        <f t="array" ref="L86">_xlfn.IFS(J86&lt;35,"A1",AND(J86&gt;=35,J86&lt;=45),"A2",J86&gt;45,"A3")</f>
        <v>A3</v>
      </c>
      <c r="M86" s="7">
        <f t="shared" si="1"/>
        <v>154.65116279069767</v>
      </c>
    </row>
    <row r="87" spans="1:13" x14ac:dyDescent="0.3">
      <c r="A87">
        <v>33</v>
      </c>
      <c r="B87" s="2">
        <v>45422</v>
      </c>
      <c r="C87" t="s">
        <v>34</v>
      </c>
      <c r="D87" t="s">
        <v>25</v>
      </c>
      <c r="E87" t="s">
        <v>19</v>
      </c>
      <c r="F87">
        <v>511</v>
      </c>
      <c r="G87">
        <v>679</v>
      </c>
      <c r="H87" t="s">
        <v>20</v>
      </c>
      <c r="I87">
        <v>36</v>
      </c>
      <c r="J87">
        <v>25</v>
      </c>
      <c r="K87" t="s">
        <v>20</v>
      </c>
      <c r="L87" t="str" cm="1">
        <f t="array" ref="L87">_xlfn.IFS(J87&lt;35,"A1",AND(J87&gt;=35,J87&lt;=45),"A2",J87&gt;45,"A3")</f>
        <v>A1</v>
      </c>
      <c r="M87" s="7">
        <f t="shared" si="1"/>
        <v>1.3287671232876712</v>
      </c>
    </row>
    <row r="88" spans="1:13" x14ac:dyDescent="0.3">
      <c r="A88">
        <v>42</v>
      </c>
      <c r="B88" s="2">
        <v>45424</v>
      </c>
      <c r="C88" t="s">
        <v>17</v>
      </c>
      <c r="D88" t="s">
        <v>22</v>
      </c>
      <c r="E88" t="s">
        <v>23</v>
      </c>
      <c r="F88">
        <v>382</v>
      </c>
      <c r="G88">
        <v>37490</v>
      </c>
      <c r="H88" t="s">
        <v>29</v>
      </c>
      <c r="I88">
        <v>38</v>
      </c>
      <c r="J88">
        <v>42</v>
      </c>
      <c r="K88" t="s">
        <v>20</v>
      </c>
      <c r="L88" t="str" cm="1">
        <f t="array" ref="L88">_xlfn.IFS(J88&lt;35,"A1",AND(J88&gt;=35,J88&lt;=45),"A2",J88&gt;45,"A3")</f>
        <v>A2</v>
      </c>
      <c r="M88" s="7">
        <f t="shared" si="1"/>
        <v>98.141361256544499</v>
      </c>
    </row>
    <row r="89" spans="1:13" x14ac:dyDescent="0.3">
      <c r="A89">
        <v>94</v>
      </c>
      <c r="B89" s="2">
        <v>45427</v>
      </c>
      <c r="C89" t="s">
        <v>17</v>
      </c>
      <c r="D89" t="s">
        <v>25</v>
      </c>
      <c r="E89" t="s">
        <v>23</v>
      </c>
      <c r="F89">
        <v>173</v>
      </c>
      <c r="G89">
        <v>24549</v>
      </c>
      <c r="H89" t="s">
        <v>29</v>
      </c>
      <c r="I89">
        <v>37</v>
      </c>
      <c r="J89">
        <v>25</v>
      </c>
      <c r="K89" t="s">
        <v>20</v>
      </c>
      <c r="L89" t="str" cm="1">
        <f t="array" ref="L89">_xlfn.IFS(J89&lt;35,"A1",AND(J89&gt;=35,J89&lt;=45),"A2",J89&gt;45,"A3")</f>
        <v>A1</v>
      </c>
      <c r="M89" s="7">
        <f t="shared" si="1"/>
        <v>141.90173410404626</v>
      </c>
    </row>
    <row r="90" spans="1:13" x14ac:dyDescent="0.3">
      <c r="A90">
        <v>64</v>
      </c>
      <c r="B90" s="2">
        <v>45432</v>
      </c>
      <c r="C90" t="s">
        <v>21</v>
      </c>
      <c r="D90" t="s">
        <v>32</v>
      </c>
      <c r="E90" t="s">
        <v>19</v>
      </c>
      <c r="F90">
        <v>188</v>
      </c>
      <c r="G90">
        <v>679</v>
      </c>
      <c r="H90" t="s">
        <v>20</v>
      </c>
      <c r="I90">
        <v>28</v>
      </c>
      <c r="J90">
        <v>25</v>
      </c>
      <c r="K90" t="s">
        <v>29</v>
      </c>
      <c r="L90" t="str" cm="1">
        <f t="array" ref="L90">_xlfn.IFS(J90&lt;35,"A1",AND(J90&gt;=35,J90&lt;=45),"A2",J90&gt;45,"A3")</f>
        <v>A1</v>
      </c>
      <c r="M90" s="7">
        <f t="shared" si="1"/>
        <v>3.6117021276595747</v>
      </c>
    </row>
    <row r="91" spans="1:13" x14ac:dyDescent="0.3">
      <c r="A91">
        <v>91</v>
      </c>
      <c r="B91" s="2">
        <v>45444</v>
      </c>
      <c r="C91" t="s">
        <v>17</v>
      </c>
      <c r="D91" t="s">
        <v>22</v>
      </c>
      <c r="E91" t="s">
        <v>28</v>
      </c>
      <c r="F91">
        <v>386</v>
      </c>
      <c r="G91">
        <v>47952</v>
      </c>
      <c r="H91" t="s">
        <v>29</v>
      </c>
      <c r="I91">
        <v>39</v>
      </c>
      <c r="J91">
        <v>42</v>
      </c>
      <c r="K91" t="s">
        <v>20</v>
      </c>
      <c r="L91" t="str" cm="1">
        <f t="array" ref="L91">_xlfn.IFS(J91&lt;35,"A1",AND(J91&gt;=35,J91&lt;=45),"A2",J91&gt;45,"A3")</f>
        <v>A2</v>
      </c>
      <c r="M91" s="7">
        <f t="shared" si="1"/>
        <v>124.2279792746114</v>
      </c>
    </row>
    <row r="92" spans="1:13" x14ac:dyDescent="0.3">
      <c r="A92">
        <v>5</v>
      </c>
      <c r="B92" s="2">
        <v>45449</v>
      </c>
      <c r="C92" t="s">
        <v>31</v>
      </c>
      <c r="D92" t="s">
        <v>18</v>
      </c>
      <c r="E92" t="s">
        <v>28</v>
      </c>
      <c r="F92">
        <v>178</v>
      </c>
      <c r="G92">
        <v>41349</v>
      </c>
      <c r="H92" t="s">
        <v>29</v>
      </c>
      <c r="I92">
        <v>38</v>
      </c>
      <c r="J92">
        <v>26</v>
      </c>
      <c r="K92" t="s">
        <v>20</v>
      </c>
      <c r="L92" t="str" cm="1">
        <f t="array" ref="L92">_xlfn.IFS(J92&lt;35,"A1",AND(J92&gt;=35,J92&lt;=45),"A2",J92&gt;45,"A3")</f>
        <v>A1</v>
      </c>
      <c r="M92" s="7">
        <f t="shared" si="1"/>
        <v>232.29775280898878</v>
      </c>
    </row>
    <row r="93" spans="1:13" x14ac:dyDescent="0.3">
      <c r="A93">
        <v>44</v>
      </c>
      <c r="B93" s="2">
        <v>45451</v>
      </c>
      <c r="C93" t="s">
        <v>34</v>
      </c>
      <c r="D93" t="s">
        <v>24</v>
      </c>
      <c r="E93" t="s">
        <v>33</v>
      </c>
      <c r="F93">
        <v>368</v>
      </c>
      <c r="G93">
        <v>46068</v>
      </c>
      <c r="H93" t="s">
        <v>20</v>
      </c>
      <c r="I93">
        <v>27</v>
      </c>
      <c r="J93">
        <v>52</v>
      </c>
      <c r="K93" t="s">
        <v>20</v>
      </c>
      <c r="L93" t="str" cm="1">
        <f t="array" ref="L93">_xlfn.IFS(J93&lt;35,"A1",AND(J93&gt;=35,J93&lt;=45),"A2",J93&gt;45,"A3")</f>
        <v>A3</v>
      </c>
      <c r="M93" s="7">
        <f t="shared" si="1"/>
        <v>125.18478260869566</v>
      </c>
    </row>
    <row r="94" spans="1:13" x14ac:dyDescent="0.3">
      <c r="A94">
        <v>59</v>
      </c>
      <c r="B94" s="2">
        <v>45453</v>
      </c>
      <c r="C94" t="s">
        <v>17</v>
      </c>
      <c r="D94" t="s">
        <v>32</v>
      </c>
      <c r="E94" t="s">
        <v>19</v>
      </c>
      <c r="F94">
        <v>322</v>
      </c>
      <c r="G94">
        <v>29440</v>
      </c>
      <c r="H94" t="s">
        <v>29</v>
      </c>
      <c r="I94">
        <v>38</v>
      </c>
      <c r="J94">
        <v>25</v>
      </c>
      <c r="K94" t="s">
        <v>29</v>
      </c>
      <c r="L94" t="str" cm="1">
        <f t="array" ref="L94">_xlfn.IFS(J94&lt;35,"A1",AND(J94&gt;=35,J94&lt;=45),"A2",J94&gt;45,"A3")</f>
        <v>A1</v>
      </c>
      <c r="M94" s="7">
        <f t="shared" si="1"/>
        <v>91.428571428571431</v>
      </c>
    </row>
    <row r="95" spans="1:13" x14ac:dyDescent="0.3">
      <c r="A95">
        <v>82</v>
      </c>
      <c r="B95" s="2">
        <v>45457</v>
      </c>
      <c r="C95" t="s">
        <v>34</v>
      </c>
      <c r="D95" t="s">
        <v>32</v>
      </c>
      <c r="E95" t="s">
        <v>33</v>
      </c>
      <c r="F95">
        <v>130</v>
      </c>
      <c r="G95">
        <v>16740</v>
      </c>
      <c r="H95" t="s">
        <v>20</v>
      </c>
      <c r="I95">
        <v>34</v>
      </c>
      <c r="J95">
        <v>25</v>
      </c>
      <c r="K95" t="s">
        <v>29</v>
      </c>
      <c r="L95" t="str" cm="1">
        <f t="array" ref="L95">_xlfn.IFS(J95&lt;35,"A1",AND(J95&gt;=35,J95&lt;=45),"A2",J95&gt;45,"A3")</f>
        <v>A1</v>
      </c>
      <c r="M95" s="7">
        <f t="shared" si="1"/>
        <v>128.76923076923077</v>
      </c>
    </row>
    <row r="96" spans="1:13" x14ac:dyDescent="0.3">
      <c r="A96">
        <v>45</v>
      </c>
      <c r="B96" s="2">
        <v>45458</v>
      </c>
      <c r="C96" t="s">
        <v>21</v>
      </c>
      <c r="D96" t="s">
        <v>37</v>
      </c>
      <c r="E96" t="s">
        <v>19</v>
      </c>
      <c r="F96">
        <v>79</v>
      </c>
      <c r="G96">
        <v>11078</v>
      </c>
      <c r="H96" t="s">
        <v>20</v>
      </c>
      <c r="I96">
        <v>27</v>
      </c>
      <c r="J96">
        <v>36</v>
      </c>
      <c r="K96" t="s">
        <v>20</v>
      </c>
      <c r="L96" t="str" cm="1">
        <f t="array" ref="L96">_xlfn.IFS(J96&lt;35,"A1",AND(J96&gt;=35,J96&lt;=45),"A2",J96&gt;45,"A3")</f>
        <v>A2</v>
      </c>
      <c r="M96" s="7">
        <f t="shared" si="1"/>
        <v>140.22784810126583</v>
      </c>
    </row>
    <row r="97" spans="1:13" x14ac:dyDescent="0.3">
      <c r="A97">
        <v>99</v>
      </c>
      <c r="B97" s="2">
        <v>45464</v>
      </c>
      <c r="C97" t="s">
        <v>21</v>
      </c>
      <c r="D97" t="s">
        <v>22</v>
      </c>
      <c r="E97" t="s">
        <v>19</v>
      </c>
      <c r="F97">
        <v>216</v>
      </c>
      <c r="G97">
        <v>36934</v>
      </c>
      <c r="H97" t="s">
        <v>20</v>
      </c>
      <c r="I97">
        <v>26</v>
      </c>
      <c r="J97">
        <v>42</v>
      </c>
      <c r="K97" t="s">
        <v>20</v>
      </c>
      <c r="L97" t="str" cm="1">
        <f t="array" ref="L97">_xlfn.IFS(J97&lt;35,"A1",AND(J97&gt;=35,J97&lt;=45),"A2",J97&gt;45,"A3")</f>
        <v>A2</v>
      </c>
      <c r="M97" s="7">
        <f t="shared" si="1"/>
        <v>170.99074074074073</v>
      </c>
    </row>
    <row r="98" spans="1:13" x14ac:dyDescent="0.3">
      <c r="A98">
        <v>14</v>
      </c>
      <c r="B98" s="2">
        <v>45465</v>
      </c>
      <c r="C98" t="s">
        <v>31</v>
      </c>
      <c r="D98" t="s">
        <v>18</v>
      </c>
      <c r="E98" t="s">
        <v>23</v>
      </c>
      <c r="F98">
        <v>332</v>
      </c>
      <c r="G98">
        <v>679</v>
      </c>
      <c r="H98" t="s">
        <v>20</v>
      </c>
      <c r="I98">
        <v>27</v>
      </c>
      <c r="J98">
        <v>26</v>
      </c>
      <c r="K98" t="s">
        <v>20</v>
      </c>
      <c r="L98" t="str" cm="1">
        <f t="array" ref="L98">_xlfn.IFS(J98&lt;35,"A1",AND(J98&gt;=35,J98&lt;=45),"A2",J98&gt;45,"A3")</f>
        <v>A1</v>
      </c>
      <c r="M98" s="7">
        <f t="shared" si="1"/>
        <v>2.0451807228915664</v>
      </c>
    </row>
    <row r="99" spans="1:13" x14ac:dyDescent="0.3">
      <c r="A99">
        <v>38</v>
      </c>
      <c r="B99" s="2">
        <v>45467</v>
      </c>
      <c r="C99" t="s">
        <v>21</v>
      </c>
      <c r="D99" t="s">
        <v>22</v>
      </c>
      <c r="E99" t="s">
        <v>19</v>
      </c>
      <c r="F99">
        <v>115</v>
      </c>
      <c r="G99">
        <v>14076</v>
      </c>
      <c r="H99" t="s">
        <v>20</v>
      </c>
      <c r="I99">
        <v>26</v>
      </c>
      <c r="J99">
        <v>42</v>
      </c>
      <c r="K99" t="s">
        <v>20</v>
      </c>
      <c r="L99" t="str" cm="1">
        <f t="array" ref="L99">_xlfn.IFS(J99&lt;35,"A1",AND(J99&gt;=35,J99&lt;=45),"A2",J99&gt;45,"A3")</f>
        <v>A2</v>
      </c>
      <c r="M99" s="7">
        <f t="shared" si="1"/>
        <v>122.4</v>
      </c>
    </row>
    <row r="100" spans="1:13" x14ac:dyDescent="0.3">
      <c r="A100">
        <v>19</v>
      </c>
      <c r="B100" s="2">
        <v>45469</v>
      </c>
      <c r="C100" t="s">
        <v>21</v>
      </c>
      <c r="D100" t="s">
        <v>36</v>
      </c>
      <c r="E100" t="s">
        <v>23</v>
      </c>
      <c r="F100">
        <v>443</v>
      </c>
      <c r="G100">
        <v>50652</v>
      </c>
      <c r="H100" t="s">
        <v>29</v>
      </c>
      <c r="I100">
        <v>29</v>
      </c>
      <c r="J100">
        <v>49</v>
      </c>
      <c r="K100" t="s">
        <v>29</v>
      </c>
      <c r="L100" t="str" cm="1">
        <f t="array" ref="L100">_xlfn.IFS(J100&lt;35,"A1",AND(J100&gt;=35,J100&lt;=45),"A2",J100&gt;45,"A3")</f>
        <v>A3</v>
      </c>
      <c r="M100" s="7">
        <f t="shared" si="1"/>
        <v>114.33860045146727</v>
      </c>
    </row>
    <row r="101" spans="1:13" x14ac:dyDescent="0.3">
      <c r="A101">
        <v>78</v>
      </c>
      <c r="B101" s="2">
        <v>45469</v>
      </c>
      <c r="C101" t="s">
        <v>31</v>
      </c>
      <c r="D101" t="s">
        <v>18</v>
      </c>
      <c r="E101" t="s">
        <v>23</v>
      </c>
      <c r="F101">
        <v>465</v>
      </c>
      <c r="G101">
        <v>679</v>
      </c>
      <c r="H101" t="s">
        <v>20</v>
      </c>
      <c r="I101">
        <v>27</v>
      </c>
      <c r="J101">
        <v>26</v>
      </c>
      <c r="K101" t="s">
        <v>20</v>
      </c>
      <c r="L101" t="str" cm="1">
        <f t="array" ref="L101">_xlfn.IFS(J101&lt;35,"A1",AND(J101&gt;=35,J101&lt;=45),"A2",J101&gt;45,"A3")</f>
        <v>A1</v>
      </c>
      <c r="M101" s="7">
        <f t="shared" si="1"/>
        <v>1.4602150537634409</v>
      </c>
    </row>
    <row r="102" spans="1:13" x14ac:dyDescent="0.3">
      <c r="A102">
        <v>7</v>
      </c>
      <c r="B102" s="2">
        <v>45472</v>
      </c>
      <c r="C102" t="s">
        <v>21</v>
      </c>
      <c r="D102" t="s">
        <v>27</v>
      </c>
      <c r="E102" t="s">
        <v>28</v>
      </c>
      <c r="F102">
        <v>68</v>
      </c>
      <c r="G102">
        <v>11696</v>
      </c>
      <c r="H102" t="s">
        <v>29</v>
      </c>
      <c r="I102">
        <v>33</v>
      </c>
      <c r="J102">
        <v>28</v>
      </c>
      <c r="K102" t="s">
        <v>29</v>
      </c>
      <c r="L102" t="str" cm="1">
        <f t="array" ref="L102">_xlfn.IFS(J102&lt;35,"A1",AND(J102&gt;=35,J102&lt;=45),"A2",J102&gt;45,"A3")</f>
        <v>A1</v>
      </c>
      <c r="M102" s="7">
        <f t="shared" si="1"/>
        <v>172</v>
      </c>
    </row>
    <row r="103" spans="1:13" x14ac:dyDescent="0.3">
      <c r="A103">
        <v>13</v>
      </c>
      <c r="B103" s="2">
        <v>45472</v>
      </c>
      <c r="C103" t="s">
        <v>17</v>
      </c>
      <c r="D103" t="s">
        <v>32</v>
      </c>
      <c r="E103" t="s">
        <v>19</v>
      </c>
      <c r="F103">
        <v>435</v>
      </c>
      <c r="G103">
        <v>64090</v>
      </c>
      <c r="H103" t="s">
        <v>20</v>
      </c>
      <c r="I103">
        <v>32</v>
      </c>
      <c r="J103">
        <v>25</v>
      </c>
      <c r="K103" t="s">
        <v>29</v>
      </c>
      <c r="L103" t="str" cm="1">
        <f t="array" ref="L103">_xlfn.IFS(J103&lt;35,"A1",AND(J103&gt;=35,J103&lt;=45),"A2",J103&gt;45,"A3")</f>
        <v>A1</v>
      </c>
      <c r="M103" s="7">
        <f t="shared" si="1"/>
        <v>147.33333333333334</v>
      </c>
    </row>
    <row r="104" spans="1:13" x14ac:dyDescent="0.3">
      <c r="A104">
        <v>77</v>
      </c>
      <c r="B104" s="2">
        <v>45478</v>
      </c>
      <c r="C104" t="s">
        <v>21</v>
      </c>
      <c r="D104" t="s">
        <v>22</v>
      </c>
      <c r="E104" t="s">
        <v>33</v>
      </c>
      <c r="F104">
        <v>115</v>
      </c>
      <c r="G104">
        <v>34804</v>
      </c>
      <c r="H104" t="s">
        <v>20</v>
      </c>
      <c r="I104">
        <v>36</v>
      </c>
      <c r="J104">
        <v>42</v>
      </c>
      <c r="K104" t="s">
        <v>20</v>
      </c>
      <c r="L104" t="str" cm="1">
        <f t="array" ref="L104">_xlfn.IFS(J104&lt;35,"A1",AND(J104&gt;=35,J104&lt;=45),"A2",J104&gt;45,"A3")</f>
        <v>A2</v>
      </c>
      <c r="M104" s="7">
        <f t="shared" si="1"/>
        <v>302.64347826086959</v>
      </c>
    </row>
    <row r="105" spans="1:13" x14ac:dyDescent="0.3">
      <c r="A105">
        <v>39</v>
      </c>
      <c r="B105" s="2">
        <v>45489</v>
      </c>
      <c r="C105" t="s">
        <v>17</v>
      </c>
      <c r="D105" t="s">
        <v>37</v>
      </c>
      <c r="E105" t="s">
        <v>23</v>
      </c>
      <c r="F105">
        <v>248</v>
      </c>
      <c r="G105">
        <v>12870</v>
      </c>
      <c r="H105" t="s">
        <v>20</v>
      </c>
      <c r="I105">
        <v>33</v>
      </c>
      <c r="J105">
        <v>36</v>
      </c>
      <c r="K105" t="s">
        <v>20</v>
      </c>
      <c r="L105" t="str" cm="1">
        <f t="array" ref="L105">_xlfn.IFS(J105&lt;35,"A1",AND(J105&gt;=35,J105&lt;=45),"A2",J105&gt;45,"A3")</f>
        <v>A2</v>
      </c>
      <c r="M105" s="7">
        <f t="shared" si="1"/>
        <v>51.895161290322584</v>
      </c>
    </row>
    <row r="106" spans="1:13" x14ac:dyDescent="0.3">
      <c r="A106">
        <v>102</v>
      </c>
      <c r="B106" s="2">
        <v>45497</v>
      </c>
      <c r="C106" t="s">
        <v>34</v>
      </c>
      <c r="D106" t="s">
        <v>18</v>
      </c>
      <c r="E106" t="s">
        <v>23</v>
      </c>
      <c r="F106">
        <v>376</v>
      </c>
      <c r="G106">
        <v>679</v>
      </c>
      <c r="H106" t="s">
        <v>20</v>
      </c>
      <c r="I106">
        <v>38</v>
      </c>
      <c r="J106">
        <v>26</v>
      </c>
      <c r="K106" t="s">
        <v>20</v>
      </c>
      <c r="L106" t="str" cm="1">
        <f t="array" ref="L106">_xlfn.IFS(J106&lt;35,"A1",AND(J106&gt;=35,J106&lt;=45),"A2",J106&gt;45,"A3")</f>
        <v>A1</v>
      </c>
      <c r="M106" s="7">
        <f t="shared" si="1"/>
        <v>1.8058510638297873</v>
      </c>
    </row>
    <row r="107" spans="1:13" x14ac:dyDescent="0.3">
      <c r="A107">
        <v>111</v>
      </c>
      <c r="B107" s="2">
        <v>45497</v>
      </c>
      <c r="C107" t="s">
        <v>17</v>
      </c>
      <c r="D107" t="s">
        <v>18</v>
      </c>
      <c r="E107" t="s">
        <v>19</v>
      </c>
      <c r="F107">
        <v>319</v>
      </c>
      <c r="G107">
        <v>4221</v>
      </c>
      <c r="H107" t="s">
        <v>29</v>
      </c>
      <c r="I107">
        <v>33</v>
      </c>
      <c r="J107">
        <v>26</v>
      </c>
      <c r="K107" t="s">
        <v>20</v>
      </c>
      <c r="L107" t="str" cm="1">
        <f t="array" ref="L107">_xlfn.IFS(J107&lt;35,"A1",AND(J107&gt;=35,J107&lt;=45),"A2",J107&gt;45,"A3")</f>
        <v>A1</v>
      </c>
      <c r="M107" s="7">
        <f t="shared" si="1"/>
        <v>13.231974921630094</v>
      </c>
    </row>
    <row r="108" spans="1:13" x14ac:dyDescent="0.3">
      <c r="A108">
        <v>3</v>
      </c>
      <c r="B108" s="2">
        <v>45504</v>
      </c>
      <c r="C108" t="s">
        <v>17</v>
      </c>
      <c r="D108" t="s">
        <v>37</v>
      </c>
      <c r="E108" t="s">
        <v>28</v>
      </c>
      <c r="F108">
        <v>478</v>
      </c>
      <c r="G108">
        <v>76076</v>
      </c>
      <c r="H108" t="s">
        <v>29</v>
      </c>
      <c r="I108">
        <v>34</v>
      </c>
      <c r="J108">
        <v>36</v>
      </c>
      <c r="K108" t="s">
        <v>20</v>
      </c>
      <c r="L108" t="str" cm="1">
        <f t="array" ref="L108">_xlfn.IFS(J108&lt;35,"A1",AND(J108&gt;=35,J108&lt;=45),"A2",J108&gt;45,"A3")</f>
        <v>A2</v>
      </c>
      <c r="M108" s="7">
        <f t="shared" si="1"/>
        <v>159.15481171548117</v>
      </c>
    </row>
    <row r="109" spans="1:13" x14ac:dyDescent="0.3">
      <c r="A109">
        <v>73</v>
      </c>
      <c r="B109" s="2">
        <v>45506</v>
      </c>
      <c r="C109" t="s">
        <v>21</v>
      </c>
      <c r="D109" t="s">
        <v>22</v>
      </c>
      <c r="E109" t="s">
        <v>28</v>
      </c>
      <c r="F109">
        <v>265</v>
      </c>
      <c r="G109">
        <v>12320</v>
      </c>
      <c r="H109" t="s">
        <v>20</v>
      </c>
      <c r="I109">
        <v>38</v>
      </c>
      <c r="J109">
        <v>42</v>
      </c>
      <c r="K109" t="s">
        <v>20</v>
      </c>
      <c r="L109" t="str" cm="1">
        <f t="array" ref="L109">_xlfn.IFS(J109&lt;35,"A1",AND(J109&gt;=35,J109&lt;=45),"A2",J109&gt;45,"A3")</f>
        <v>A2</v>
      </c>
      <c r="M109" s="7">
        <f t="shared" si="1"/>
        <v>46.490566037735846</v>
      </c>
    </row>
    <row r="110" spans="1:13" x14ac:dyDescent="0.3">
      <c r="A110">
        <v>10</v>
      </c>
      <c r="B110" s="2">
        <v>45508</v>
      </c>
      <c r="C110" t="s">
        <v>21</v>
      </c>
      <c r="D110" t="s">
        <v>22</v>
      </c>
      <c r="E110" t="s">
        <v>23</v>
      </c>
      <c r="F110">
        <v>396</v>
      </c>
      <c r="G110">
        <v>38480</v>
      </c>
      <c r="H110" t="s">
        <v>20</v>
      </c>
      <c r="I110">
        <v>35</v>
      </c>
      <c r="J110">
        <v>42</v>
      </c>
      <c r="K110" t="s">
        <v>20</v>
      </c>
      <c r="L110" t="str" cm="1">
        <f t="array" ref="L110">_xlfn.IFS(J110&lt;35,"A1",AND(J110&gt;=35,J110&lt;=45),"A2",J110&gt;45,"A3")</f>
        <v>A2</v>
      </c>
      <c r="M110" s="7">
        <f t="shared" si="1"/>
        <v>97.171717171717177</v>
      </c>
    </row>
    <row r="111" spans="1:13" x14ac:dyDescent="0.3">
      <c r="A111">
        <v>54</v>
      </c>
      <c r="B111" s="2">
        <v>45510</v>
      </c>
      <c r="C111" t="s">
        <v>21</v>
      </c>
      <c r="D111" t="s">
        <v>35</v>
      </c>
      <c r="E111" t="s">
        <v>23</v>
      </c>
      <c r="F111">
        <v>429</v>
      </c>
      <c r="G111">
        <v>58208</v>
      </c>
      <c r="H111" t="s">
        <v>29</v>
      </c>
      <c r="I111">
        <v>32</v>
      </c>
      <c r="J111">
        <v>28</v>
      </c>
      <c r="K111" t="s">
        <v>29</v>
      </c>
      <c r="L111" t="str" cm="1">
        <f t="array" ref="L111">_xlfn.IFS(J111&lt;35,"A1",AND(J111&gt;=35,J111&lt;=45),"A2",J111&gt;45,"A3")</f>
        <v>A1</v>
      </c>
      <c r="M111" s="7">
        <f t="shared" si="1"/>
        <v>135.68298368298369</v>
      </c>
    </row>
    <row r="112" spans="1:13" x14ac:dyDescent="0.3">
      <c r="A112">
        <v>63</v>
      </c>
      <c r="B112" s="2">
        <v>45510</v>
      </c>
      <c r="C112" t="s">
        <v>34</v>
      </c>
      <c r="D112" t="s">
        <v>32</v>
      </c>
      <c r="E112" t="s">
        <v>23</v>
      </c>
      <c r="F112">
        <v>305</v>
      </c>
      <c r="G112">
        <v>3186</v>
      </c>
      <c r="H112" t="s">
        <v>20</v>
      </c>
      <c r="I112">
        <v>38</v>
      </c>
      <c r="J112">
        <v>25</v>
      </c>
      <c r="K112" t="s">
        <v>29</v>
      </c>
      <c r="L112" t="str" cm="1">
        <f t="array" ref="L112">_xlfn.IFS(J112&lt;35,"A1",AND(J112&gt;=35,J112&lt;=45),"A2",J112&gt;45,"A3")</f>
        <v>A1</v>
      </c>
      <c r="M112" s="7">
        <f t="shared" si="1"/>
        <v>10.445901639344262</v>
      </c>
    </row>
    <row r="113" spans="1:13" x14ac:dyDescent="0.3">
      <c r="A113">
        <v>27</v>
      </c>
      <c r="B113" s="2">
        <v>45511</v>
      </c>
      <c r="C113" t="s">
        <v>21</v>
      </c>
      <c r="D113" t="s">
        <v>22</v>
      </c>
      <c r="E113" t="s">
        <v>19</v>
      </c>
      <c r="F113">
        <v>422</v>
      </c>
      <c r="G113">
        <v>13490</v>
      </c>
      <c r="H113" t="s">
        <v>20</v>
      </c>
      <c r="I113">
        <v>31</v>
      </c>
      <c r="J113">
        <v>42</v>
      </c>
      <c r="K113" t="s">
        <v>20</v>
      </c>
      <c r="L113" t="str" cm="1">
        <f t="array" ref="L113">_xlfn.IFS(J113&lt;35,"A1",AND(J113&gt;=35,J113&lt;=45),"A2",J113&gt;45,"A3")</f>
        <v>A2</v>
      </c>
      <c r="M113" s="7">
        <f t="shared" si="1"/>
        <v>31.966824644549764</v>
      </c>
    </row>
    <row r="114" spans="1:13" x14ac:dyDescent="0.3">
      <c r="A114">
        <v>23</v>
      </c>
      <c r="B114" s="2">
        <v>45520</v>
      </c>
      <c r="C114" t="s">
        <v>17</v>
      </c>
      <c r="D114" t="s">
        <v>27</v>
      </c>
      <c r="E114" t="s">
        <v>23</v>
      </c>
      <c r="F114">
        <v>90</v>
      </c>
      <c r="G114">
        <v>42328</v>
      </c>
      <c r="H114" t="s">
        <v>20</v>
      </c>
      <c r="I114">
        <v>28</v>
      </c>
      <c r="J114">
        <v>28</v>
      </c>
      <c r="K114" t="s">
        <v>29</v>
      </c>
      <c r="L114" t="str" cm="1">
        <f t="array" ref="L114">_xlfn.IFS(J114&lt;35,"A1",AND(J114&gt;=35,J114&lt;=45),"A2",J114&gt;45,"A3")</f>
        <v>A1</v>
      </c>
      <c r="M114" s="7">
        <f t="shared" si="1"/>
        <v>470.31111111111113</v>
      </c>
    </row>
    <row r="115" spans="1:13" x14ac:dyDescent="0.3">
      <c r="A115">
        <v>95</v>
      </c>
      <c r="B115" s="2">
        <v>45521</v>
      </c>
      <c r="C115" t="s">
        <v>17</v>
      </c>
      <c r="D115" t="s">
        <v>22</v>
      </c>
      <c r="E115" t="s">
        <v>33</v>
      </c>
      <c r="F115">
        <v>306</v>
      </c>
      <c r="G115">
        <v>679</v>
      </c>
      <c r="H115" t="s">
        <v>20</v>
      </c>
      <c r="I115">
        <v>27</v>
      </c>
      <c r="J115">
        <v>42</v>
      </c>
      <c r="K115" t="s">
        <v>20</v>
      </c>
      <c r="L115" t="str" cm="1">
        <f t="array" ref="L115">_xlfn.IFS(J115&lt;35,"A1",AND(J115&gt;=35,J115&lt;=45),"A2",J115&gt;45,"A3")</f>
        <v>A2</v>
      </c>
      <c r="M115" s="7">
        <f t="shared" si="1"/>
        <v>2.2189542483660132</v>
      </c>
    </row>
    <row r="116" spans="1:13" x14ac:dyDescent="0.3">
      <c r="A116">
        <v>112</v>
      </c>
      <c r="B116" s="2">
        <v>45527</v>
      </c>
      <c r="C116" t="s">
        <v>34</v>
      </c>
      <c r="D116" t="s">
        <v>25</v>
      </c>
      <c r="E116" t="s">
        <v>23</v>
      </c>
      <c r="F116">
        <v>62</v>
      </c>
      <c r="G116">
        <v>31500</v>
      </c>
      <c r="H116" t="s">
        <v>29</v>
      </c>
      <c r="I116">
        <v>38</v>
      </c>
      <c r="J116">
        <v>25</v>
      </c>
      <c r="K116" t="s">
        <v>20</v>
      </c>
      <c r="L116" t="str" cm="1">
        <f t="array" ref="L116">_xlfn.IFS(J116&lt;35,"A1",AND(J116&gt;=35,J116&lt;=45),"A2",J116&gt;45,"A3")</f>
        <v>A1</v>
      </c>
      <c r="M116" s="7">
        <f t="shared" si="1"/>
        <v>508.06451612903226</v>
      </c>
    </row>
    <row r="117" spans="1:13" x14ac:dyDescent="0.3">
      <c r="A117">
        <v>26</v>
      </c>
      <c r="B117" s="2">
        <v>45530</v>
      </c>
      <c r="C117" t="s">
        <v>21</v>
      </c>
      <c r="D117" t="s">
        <v>22</v>
      </c>
      <c r="E117" t="s">
        <v>23</v>
      </c>
      <c r="F117">
        <v>406</v>
      </c>
      <c r="G117">
        <v>47880</v>
      </c>
      <c r="H117" t="s">
        <v>29</v>
      </c>
      <c r="I117">
        <v>31</v>
      </c>
      <c r="J117">
        <v>42</v>
      </c>
      <c r="K117" t="s">
        <v>20</v>
      </c>
      <c r="L117" t="str" cm="1">
        <f t="array" ref="L117">_xlfn.IFS(J117&lt;35,"A1",AND(J117&gt;=35,J117&lt;=45),"A2",J117&gt;45,"A3")</f>
        <v>A2</v>
      </c>
      <c r="M117" s="7">
        <f t="shared" si="1"/>
        <v>117.93103448275862</v>
      </c>
    </row>
    <row r="118" spans="1:13" x14ac:dyDescent="0.3">
      <c r="A118">
        <v>69</v>
      </c>
      <c r="B118" s="2">
        <v>45532</v>
      </c>
      <c r="C118" t="s">
        <v>34</v>
      </c>
      <c r="D118" t="s">
        <v>37</v>
      </c>
      <c r="E118" t="s">
        <v>33</v>
      </c>
      <c r="F118">
        <v>183</v>
      </c>
      <c r="G118">
        <v>679</v>
      </c>
      <c r="H118" t="s">
        <v>29</v>
      </c>
      <c r="I118">
        <v>29</v>
      </c>
      <c r="J118">
        <v>36</v>
      </c>
      <c r="K118" t="s">
        <v>20</v>
      </c>
      <c r="L118" t="str" cm="1">
        <f t="array" ref="L118">_xlfn.IFS(J118&lt;35,"A1",AND(J118&gt;=35,J118&lt;=45),"A2",J118&gt;45,"A3")</f>
        <v>A2</v>
      </c>
      <c r="M118" s="7">
        <f t="shared" si="1"/>
        <v>3.7103825136612021</v>
      </c>
    </row>
    <row r="119" spans="1:13" x14ac:dyDescent="0.3">
      <c r="A119">
        <v>31</v>
      </c>
      <c r="B119" s="2">
        <v>45543</v>
      </c>
      <c r="C119" t="s">
        <v>17</v>
      </c>
      <c r="D119" t="s">
        <v>22</v>
      </c>
      <c r="E119" t="s">
        <v>19</v>
      </c>
      <c r="F119">
        <v>369</v>
      </c>
      <c r="G119">
        <v>5246</v>
      </c>
      <c r="H119" t="s">
        <v>29</v>
      </c>
      <c r="I119">
        <v>34</v>
      </c>
      <c r="J119">
        <v>42</v>
      </c>
      <c r="K119" t="s">
        <v>20</v>
      </c>
      <c r="L119" t="str" cm="1">
        <f t="array" ref="L119">_xlfn.IFS(J119&lt;35,"A1",AND(J119&gt;=35,J119&lt;=45),"A2",J119&gt;45,"A3")</f>
        <v>A2</v>
      </c>
      <c r="M119" s="7">
        <f t="shared" si="1"/>
        <v>14.21680216802168</v>
      </c>
    </row>
    <row r="120" spans="1:13" x14ac:dyDescent="0.3">
      <c r="A120">
        <v>79</v>
      </c>
      <c r="B120" s="2">
        <v>45544</v>
      </c>
      <c r="C120" t="s">
        <v>34</v>
      </c>
      <c r="D120" t="s">
        <v>22</v>
      </c>
      <c r="E120" t="s">
        <v>28</v>
      </c>
      <c r="F120">
        <v>519</v>
      </c>
      <c r="G120">
        <v>45312</v>
      </c>
      <c r="H120" t="s">
        <v>29</v>
      </c>
      <c r="I120">
        <v>26</v>
      </c>
      <c r="J120">
        <v>42</v>
      </c>
      <c r="K120" t="s">
        <v>20</v>
      </c>
      <c r="L120" t="str" cm="1">
        <f t="array" ref="L120">_xlfn.IFS(J120&lt;35,"A1",AND(J120&gt;=35,J120&lt;=45),"A2",J120&gt;45,"A3")</f>
        <v>A2</v>
      </c>
      <c r="M120" s="7">
        <f t="shared" si="1"/>
        <v>87.306358381502889</v>
      </c>
    </row>
    <row r="121" spans="1:13" x14ac:dyDescent="0.3">
      <c r="A121">
        <v>55</v>
      </c>
      <c r="B121" s="2">
        <v>45549</v>
      </c>
      <c r="C121" t="s">
        <v>31</v>
      </c>
      <c r="D121" t="s">
        <v>22</v>
      </c>
      <c r="E121" t="s">
        <v>33</v>
      </c>
      <c r="F121">
        <v>491</v>
      </c>
      <c r="G121">
        <v>59458</v>
      </c>
      <c r="H121" t="s">
        <v>29</v>
      </c>
      <c r="I121">
        <v>39</v>
      </c>
      <c r="J121">
        <v>42</v>
      </c>
      <c r="K121" t="s">
        <v>20</v>
      </c>
      <c r="L121" t="str" cm="1">
        <f t="array" ref="L121">_xlfn.IFS(J121&lt;35,"A1",AND(J121&gt;=35,J121&lt;=45),"A2",J121&gt;45,"A3")</f>
        <v>A2</v>
      </c>
      <c r="M121" s="7">
        <f t="shared" si="1"/>
        <v>121.09572301425662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B6EA-8583-4ECF-A7EF-6FFA41B6740E}">
  <dimension ref="A1:C11"/>
  <sheetViews>
    <sheetView workbookViewId="0">
      <selection activeCell="C2" sqref="C2"/>
    </sheetView>
  </sheetViews>
  <sheetFormatPr defaultRowHeight="14.4" x14ac:dyDescent="0.3"/>
  <cols>
    <col min="1" max="1" width="11.21875" bestFit="1" customWidth="1"/>
  </cols>
  <sheetData>
    <row r="1" spans="1:3" x14ac:dyDescent="0.3">
      <c r="A1" t="s">
        <v>11</v>
      </c>
    </row>
    <row r="2" spans="1:3" x14ac:dyDescent="0.3">
      <c r="A2" t="s">
        <v>18</v>
      </c>
      <c r="B2">
        <f>_xlfn.XLOOKUP(A2,'Unclean Dataset for Dashboard'!$D$1:$D$121,'Unclean Dataset for Dashboard'!$J$1:$J$121)</f>
        <v>26</v>
      </c>
      <c r="C2" t="s">
        <v>20</v>
      </c>
    </row>
    <row r="3" spans="1:3" x14ac:dyDescent="0.3">
      <c r="A3" t="s">
        <v>22</v>
      </c>
      <c r="B3">
        <f>_xlfn.XLOOKUP(A3,'Unclean Dataset for Dashboard'!$D$1:$D$121,'Unclean Dataset for Dashboard'!$J$1:$J$121)</f>
        <v>42</v>
      </c>
      <c r="C3" t="s">
        <v>20</v>
      </c>
    </row>
    <row r="4" spans="1:3" x14ac:dyDescent="0.3">
      <c r="A4" t="s">
        <v>24</v>
      </c>
      <c r="B4">
        <f>_xlfn.XLOOKUP(A4,'Unclean Dataset for Dashboard'!$D$1:$D$121,'Unclean Dataset for Dashboard'!$J$1:$J$121)</f>
        <v>52</v>
      </c>
      <c r="C4" t="s">
        <v>20</v>
      </c>
    </row>
    <row r="5" spans="1:3" x14ac:dyDescent="0.3">
      <c r="A5" t="s">
        <v>25</v>
      </c>
      <c r="B5">
        <f>_xlfn.XLOOKUP(A5,'Unclean Dataset for Dashboard'!$D$1:$D$121,'Unclean Dataset for Dashboard'!$J$1:$J$121)</f>
        <v>25</v>
      </c>
      <c r="C5" t="s">
        <v>20</v>
      </c>
    </row>
    <row r="6" spans="1:3" x14ac:dyDescent="0.3">
      <c r="A6" t="s">
        <v>27</v>
      </c>
      <c r="B6">
        <f>_xlfn.XLOOKUP(A6,'Unclean Dataset for Dashboard'!$D$1:$D$121,'Unclean Dataset for Dashboard'!$J$1:$J$121)</f>
        <v>28</v>
      </c>
      <c r="C6" t="s">
        <v>29</v>
      </c>
    </row>
    <row r="7" spans="1:3" x14ac:dyDescent="0.3">
      <c r="A7" t="s">
        <v>30</v>
      </c>
      <c r="B7">
        <f>_xlfn.XLOOKUP(A7,'Unclean Dataset for Dashboard'!$D$1:$D$121,'Unclean Dataset for Dashboard'!$J$1:$J$121)</f>
        <v>57</v>
      </c>
      <c r="C7" t="s">
        <v>29</v>
      </c>
    </row>
    <row r="8" spans="1:3" x14ac:dyDescent="0.3">
      <c r="A8" t="s">
        <v>32</v>
      </c>
      <c r="B8">
        <f>_xlfn.XLOOKUP(A8,'Unclean Dataset for Dashboard'!$D$1:$D$121,'Unclean Dataset for Dashboard'!$J$1:$J$121)</f>
        <v>25</v>
      </c>
      <c r="C8" t="s">
        <v>29</v>
      </c>
    </row>
    <row r="9" spans="1:3" x14ac:dyDescent="0.3">
      <c r="A9" t="s">
        <v>35</v>
      </c>
      <c r="B9">
        <f>_xlfn.XLOOKUP(A9,'Unclean Dataset for Dashboard'!$D$1:$D$121,'Unclean Dataset for Dashboard'!$J$1:$J$121)</f>
        <v>28</v>
      </c>
      <c r="C9" t="s">
        <v>29</v>
      </c>
    </row>
    <row r="10" spans="1:3" x14ac:dyDescent="0.3">
      <c r="A10" t="s">
        <v>36</v>
      </c>
      <c r="B10">
        <f>_xlfn.XLOOKUP(A10,'Unclean Dataset for Dashboard'!$D$1:$D$121,'Unclean Dataset for Dashboard'!$J$1:$J$121)</f>
        <v>49</v>
      </c>
      <c r="C10" t="s">
        <v>29</v>
      </c>
    </row>
    <row r="11" spans="1:3" x14ac:dyDescent="0.3">
      <c r="A11" t="s">
        <v>37</v>
      </c>
      <c r="B11">
        <f>_xlfn.XLOOKUP(A11,'Unclean Dataset for Dashboard'!$D$1:$D$121,'Unclean Dataset for Dashboard'!$J$1:$J$121)</f>
        <v>36</v>
      </c>
      <c r="C11" t="s">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332D-E082-48C5-AE0B-FB31C1733735}">
  <dimension ref="A1:Q14"/>
  <sheetViews>
    <sheetView workbookViewId="0">
      <selection activeCell="Q4" sqref="Q4"/>
    </sheetView>
  </sheetViews>
  <sheetFormatPr defaultRowHeight="14.4" x14ac:dyDescent="0.3"/>
  <cols>
    <col min="8" max="8" width="8.6640625" bestFit="1" customWidth="1"/>
  </cols>
  <sheetData>
    <row r="1" spans="1:17" ht="28.8" x14ac:dyDescent="0.3">
      <c r="A1" s="3" t="s">
        <v>41</v>
      </c>
      <c r="B1" s="3" t="s">
        <v>42</v>
      </c>
      <c r="C1" s="3" t="s">
        <v>15</v>
      </c>
      <c r="D1" s="3" t="s">
        <v>43</v>
      </c>
      <c r="E1" s="3" t="s">
        <v>44</v>
      </c>
      <c r="F1" s="3" t="s">
        <v>45</v>
      </c>
      <c r="G1" s="3" t="s">
        <v>46</v>
      </c>
      <c r="H1" s="3" t="s">
        <v>47</v>
      </c>
      <c r="I1" s="3" t="s">
        <v>48</v>
      </c>
    </row>
    <row r="2" spans="1:17" x14ac:dyDescent="0.3">
      <c r="A2" s="4">
        <v>101</v>
      </c>
      <c r="B2" s="4" t="s">
        <v>49</v>
      </c>
      <c r="C2" s="4" t="s">
        <v>50</v>
      </c>
      <c r="D2" s="4" t="s">
        <v>51</v>
      </c>
      <c r="E2" s="4">
        <v>85</v>
      </c>
      <c r="F2" s="4">
        <v>92</v>
      </c>
      <c r="G2" s="4" t="s">
        <v>52</v>
      </c>
      <c r="H2" s="4">
        <v>50000</v>
      </c>
      <c r="I2" s="4" t="s">
        <v>53</v>
      </c>
      <c r="K2" t="s">
        <v>71</v>
      </c>
      <c r="Q2">
        <f>SUMIF(I2:I13,"Paid",H2:H13)</f>
        <v>386000</v>
      </c>
    </row>
    <row r="3" spans="1:17" x14ac:dyDescent="0.3">
      <c r="A3" s="4">
        <v>102</v>
      </c>
      <c r="B3" s="4" t="s">
        <v>54</v>
      </c>
      <c r="C3" s="4" t="s">
        <v>55</v>
      </c>
      <c r="D3" s="4" t="s">
        <v>51</v>
      </c>
      <c r="E3" s="4">
        <v>72</v>
      </c>
      <c r="F3" s="4">
        <v>88</v>
      </c>
      <c r="G3" s="4" t="s">
        <v>56</v>
      </c>
      <c r="H3" s="4">
        <v>50000</v>
      </c>
      <c r="I3" s="4" t="s">
        <v>57</v>
      </c>
      <c r="K3" t="s">
        <v>72</v>
      </c>
      <c r="Q3">
        <f>SUMIF(I2:I13,"Pending",H2:H13)</f>
        <v>191000</v>
      </c>
    </row>
    <row r="4" spans="1:17" x14ac:dyDescent="0.3">
      <c r="A4" s="4">
        <v>103</v>
      </c>
      <c r="B4" s="4" t="s">
        <v>58</v>
      </c>
      <c r="C4" s="4" t="s">
        <v>50</v>
      </c>
      <c r="D4" s="4" t="s">
        <v>59</v>
      </c>
      <c r="E4" s="4">
        <v>91</v>
      </c>
      <c r="F4" s="4">
        <v>95</v>
      </c>
      <c r="G4" s="4" t="s">
        <v>52</v>
      </c>
      <c r="H4" s="4">
        <v>48000</v>
      </c>
      <c r="I4" s="4" t="s">
        <v>53</v>
      </c>
      <c r="K4" t="s">
        <v>73</v>
      </c>
      <c r="Q4">
        <f>SUMIF(D2:D13,"AIML",E2:E13)</f>
        <v>420</v>
      </c>
    </row>
    <row r="5" spans="1:17" x14ac:dyDescent="0.3">
      <c r="A5" s="4">
        <v>104</v>
      </c>
      <c r="B5" s="4" t="s">
        <v>60</v>
      </c>
      <c r="C5" s="4" t="s">
        <v>55</v>
      </c>
      <c r="D5" s="4" t="s">
        <v>59</v>
      </c>
      <c r="E5" s="4">
        <v>65</v>
      </c>
      <c r="F5" s="4">
        <v>70</v>
      </c>
      <c r="G5" s="4" t="s">
        <v>61</v>
      </c>
      <c r="H5" s="4">
        <v>48000</v>
      </c>
      <c r="I5" s="4" t="s">
        <v>57</v>
      </c>
      <c r="K5" t="s">
        <v>74</v>
      </c>
      <c r="Q5">
        <f>SUMIF(E2:E13,"&gt;75")</f>
        <v>609</v>
      </c>
    </row>
    <row r="6" spans="1:17" x14ac:dyDescent="0.3">
      <c r="A6" s="4">
        <v>105</v>
      </c>
      <c r="B6" s="4" t="s">
        <v>62</v>
      </c>
      <c r="C6" s="4" t="s">
        <v>50</v>
      </c>
      <c r="D6" s="4" t="s">
        <v>51</v>
      </c>
      <c r="E6" s="4">
        <v>78</v>
      </c>
      <c r="F6" s="4">
        <v>85</v>
      </c>
      <c r="G6" s="4" t="s">
        <v>56</v>
      </c>
      <c r="H6" s="4">
        <v>50000</v>
      </c>
      <c r="I6" s="4" t="s">
        <v>53</v>
      </c>
      <c r="K6" t="s">
        <v>75</v>
      </c>
      <c r="Q6">
        <f>SUMIF(C2:C13,"F",H2:H13)</f>
        <v>291000</v>
      </c>
    </row>
    <row r="7" spans="1:17" x14ac:dyDescent="0.3">
      <c r="A7" s="4">
        <v>106</v>
      </c>
      <c r="B7" s="4" t="s">
        <v>63</v>
      </c>
      <c r="C7" s="4" t="s">
        <v>55</v>
      </c>
      <c r="D7" s="4" t="s">
        <v>64</v>
      </c>
      <c r="E7" s="4">
        <v>55</v>
      </c>
      <c r="F7" s="4">
        <v>60</v>
      </c>
      <c r="G7" s="4" t="s">
        <v>52</v>
      </c>
      <c r="H7" s="4">
        <v>45000</v>
      </c>
      <c r="I7" s="4" t="s">
        <v>57</v>
      </c>
      <c r="K7" t="s">
        <v>76</v>
      </c>
      <c r="Q7">
        <f>AVERAGEIF(D2:D13,"CSE",E2:E13)</f>
        <v>74.25</v>
      </c>
    </row>
    <row r="8" spans="1:17" x14ac:dyDescent="0.3">
      <c r="A8" s="4">
        <v>107</v>
      </c>
      <c r="B8" s="4" t="s">
        <v>65</v>
      </c>
      <c r="C8" s="4" t="s">
        <v>50</v>
      </c>
      <c r="D8" s="4" t="s">
        <v>64</v>
      </c>
      <c r="E8" s="4">
        <v>88</v>
      </c>
      <c r="F8" s="4">
        <v>93</v>
      </c>
      <c r="G8" s="4" t="s">
        <v>61</v>
      </c>
      <c r="H8" s="4">
        <v>45000</v>
      </c>
      <c r="I8" s="4" t="s">
        <v>53</v>
      </c>
      <c r="K8" t="s">
        <v>77</v>
      </c>
      <c r="Q8">
        <f>AVERAGEIF(G2:G13,"Mumbai",F2:F13)</f>
        <v>87.6</v>
      </c>
    </row>
    <row r="9" spans="1:17" x14ac:dyDescent="0.3">
      <c r="A9" s="4">
        <v>108</v>
      </c>
      <c r="B9" s="4" t="s">
        <v>66</v>
      </c>
      <c r="C9" s="4" t="s">
        <v>55</v>
      </c>
      <c r="D9" s="4" t="s">
        <v>51</v>
      </c>
      <c r="E9" s="4">
        <v>95</v>
      </c>
      <c r="F9" s="4">
        <v>97</v>
      </c>
      <c r="G9" s="4" t="s">
        <v>52</v>
      </c>
      <c r="H9" s="4">
        <v>50000</v>
      </c>
      <c r="I9" s="4" t="s">
        <v>53</v>
      </c>
      <c r="K9" t="s">
        <v>78</v>
      </c>
      <c r="Q9">
        <f>AVERAGEIF(I2:I13,"Pending",E2:E13)</f>
        <v>64.75</v>
      </c>
    </row>
    <row r="10" spans="1:17" x14ac:dyDescent="0.3">
      <c r="A10" s="4">
        <v>109</v>
      </c>
      <c r="B10" s="4" t="s">
        <v>67</v>
      </c>
      <c r="C10" s="4" t="s">
        <v>50</v>
      </c>
      <c r="D10" s="4" t="s">
        <v>59</v>
      </c>
      <c r="E10" s="4">
        <v>67</v>
      </c>
      <c r="F10" s="4">
        <v>75</v>
      </c>
      <c r="G10" s="4" t="s">
        <v>56</v>
      </c>
      <c r="H10" s="4">
        <v>48000</v>
      </c>
      <c r="I10" s="4" t="s">
        <v>57</v>
      </c>
      <c r="K10" t="s">
        <v>79</v>
      </c>
      <c r="Q10">
        <f>AVERAGEIF(E2:E13,"&gt;80")</f>
        <v>88.5</v>
      </c>
    </row>
    <row r="11" spans="1:17" x14ac:dyDescent="0.3">
      <c r="A11" s="4">
        <v>110</v>
      </c>
      <c r="B11" s="4" t="s">
        <v>68</v>
      </c>
      <c r="C11" s="4" t="s">
        <v>55</v>
      </c>
      <c r="D11" s="4" t="s">
        <v>64</v>
      </c>
      <c r="E11" s="4">
        <v>82</v>
      </c>
      <c r="F11" s="4">
        <v>89</v>
      </c>
      <c r="G11" s="4" t="s">
        <v>61</v>
      </c>
      <c r="H11" s="4">
        <v>45000</v>
      </c>
      <c r="I11" s="4" t="s">
        <v>53</v>
      </c>
      <c r="K11" t="s">
        <v>80</v>
      </c>
      <c r="Q11">
        <f>COUNTIF(G2:G13,"Mumbai")</f>
        <v>5</v>
      </c>
    </row>
    <row r="12" spans="1:17" x14ac:dyDescent="0.3">
      <c r="A12" s="4">
        <v>111</v>
      </c>
      <c r="B12" s="4" t="s">
        <v>69</v>
      </c>
      <c r="C12" s="4" t="s">
        <v>50</v>
      </c>
      <c r="D12" s="4" t="s">
        <v>51</v>
      </c>
      <c r="E12" s="4">
        <v>90</v>
      </c>
      <c r="F12" s="4">
        <v>94</v>
      </c>
      <c r="G12" s="4" t="s">
        <v>52</v>
      </c>
      <c r="H12" s="4">
        <v>50000</v>
      </c>
      <c r="I12" s="4" t="s">
        <v>53</v>
      </c>
      <c r="K12" t="s">
        <v>81</v>
      </c>
      <c r="Q12">
        <f>COUNTIF(E2:E13,"&gt;80")</f>
        <v>6</v>
      </c>
    </row>
    <row r="13" spans="1:17" x14ac:dyDescent="0.3">
      <c r="A13" s="4">
        <v>112</v>
      </c>
      <c r="B13" s="4" t="s">
        <v>70</v>
      </c>
      <c r="C13" s="4" t="s">
        <v>55</v>
      </c>
      <c r="D13" s="4" t="s">
        <v>59</v>
      </c>
      <c r="E13" s="4">
        <v>74</v>
      </c>
      <c r="F13" s="4">
        <v>80</v>
      </c>
      <c r="G13" s="4" t="s">
        <v>56</v>
      </c>
      <c r="H13" s="4">
        <v>48000</v>
      </c>
      <c r="I13" s="4" t="s">
        <v>53</v>
      </c>
      <c r="K13" t="s">
        <v>82</v>
      </c>
      <c r="Q13">
        <f>COUNTIF(F2:F13,"&gt;90")</f>
        <v>5</v>
      </c>
    </row>
    <row r="14" spans="1:17" x14ac:dyDescent="0.3">
      <c r="K14" t="s">
        <v>83</v>
      </c>
      <c r="Q14">
        <f>COUNTIF(I2:I13,"Pending")</f>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2E2C30-EAF5-4300-B108-7ED0DCE74B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Questions</vt:lpstr>
      <vt:lpstr>Sheet5</vt:lpstr>
      <vt:lpstr>Sheet6</vt:lpstr>
      <vt:lpstr>Sheet7</vt:lpstr>
      <vt:lpstr>Sheet8</vt:lpstr>
      <vt:lpstr>Dashboard</vt:lpstr>
      <vt:lpstr>Sheet10</vt:lpstr>
      <vt:lpstr>Unclean Dataset for Dashboard</vt:lpstr>
      <vt:lpstr>Sheet1</vt:lpstr>
      <vt:lpstr>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Karan Dhyani</cp:lastModifiedBy>
  <dcterms:created xsi:type="dcterms:W3CDTF">2015-06-05T18:17:20Z</dcterms:created>
  <dcterms:modified xsi:type="dcterms:W3CDTF">2026-04-21T10:19:37Z</dcterms:modified>
</cp:coreProperties>
</file>